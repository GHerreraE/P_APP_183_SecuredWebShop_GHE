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y78dal\Documents\GitHub\P_APP_183_SecuredWebShop_GHE\docs\"/>
    </mc:Choice>
  </mc:AlternateContent>
  <xr:revisionPtr revIDLastSave="0" documentId="13_ncr:1_{13DE63EC-F67E-4DE7-BC1F-297F96E3485D}" xr6:coauthVersionLast="47" xr6:coauthVersionMax="47" xr10:uidLastSave="{00000000-0000-0000-0000-000000000000}"/>
  <bookViews>
    <workbookView xWindow="28680" yWindow="-120" windowWidth="29040" windowHeight="15840" activeTab="6" xr2:uid="{00000000-000D-0000-FFFF-FFFF00000000}"/>
  </bookViews>
  <sheets>
    <sheet name="Donnees" sheetId="7" r:id="rId1"/>
    <sheet name="DiagramHeader" sheetId="10" state="hidden" r:id="rId2"/>
    <sheet name="DiagramFooter" sheetId="130" state="hidden" r:id="rId3"/>
    <sheet name="PlanificationWeek" sheetId="11" state="hidden" r:id="rId4"/>
    <sheet name="Planning" sheetId="155" r:id="rId5"/>
    <sheet name="achievementWeek" sheetId="154" state="hidden" r:id="rId6"/>
    <sheet name="JNLTRAV" sheetId="156" r:id="rId7"/>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 localSheetId="4">Planning!$A$1:$D$14</definedName>
    <definedName name="objPlanifWeek">PlanificationWeek!$A$1:$D$14</definedName>
    <definedName name="objRealizedWeek" localSheetId="5">achievementWeek!$A$1:$D$19</definedName>
    <definedName name="objRealizedWeek" localSheetId="6">JNLTRAV!$A$1:$D$19</definedName>
    <definedName name="_xlnm.Print_Area" localSheetId="0">Donnees!$A$1:$G$47</definedName>
  </definedNames>
  <calcPr calcId="191028"/>
  <customWorkbookViews>
    <customWorkbookView name="Gilbert Gruaz - Affichage personnalisé" guid="{4120A410-7ADA-42AD-8010-013327A2ECF1}" mergeInterval="0" personalView="1" maximized="1" windowWidth="1916" windowHeight="821"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7" i="156" l="1"/>
  <c r="D1" i="156"/>
  <c r="D20" i="156" s="1"/>
  <c r="D39" i="156" s="1"/>
  <c r="D58" i="156" s="1"/>
  <c r="D77" i="156" s="1"/>
  <c r="D96" i="156" s="1"/>
  <c r="D115" i="156" s="1"/>
  <c r="D134" i="156" s="1"/>
  <c r="B151" i="156"/>
  <c r="B132" i="156"/>
  <c r="B113" i="156"/>
  <c r="B94" i="156"/>
  <c r="B75" i="156"/>
  <c r="B56" i="156"/>
  <c r="B18" i="156"/>
  <c r="B111" i="155"/>
  <c r="B97" i="155"/>
  <c r="B83" i="155"/>
  <c r="B69" i="155"/>
  <c r="B55" i="155"/>
  <c r="B41" i="155"/>
  <c r="B27" i="155"/>
  <c r="B13" i="155"/>
  <c r="B18" i="154"/>
  <c r="B13" i="11" l="1"/>
</calcChain>
</file>

<file path=xl/sharedStrings.xml><?xml version="1.0" encoding="utf-8"?>
<sst xmlns="http://schemas.openxmlformats.org/spreadsheetml/2006/main" count="364" uniqueCount="170">
  <si>
    <t>Module :</t>
  </si>
  <si>
    <t>P_APP_183 - SECURED WEBSHOP</t>
  </si>
  <si>
    <t>Prénom - nom :</t>
  </si>
  <si>
    <t>Gonzalo Javier Herrera Egoavil</t>
  </si>
  <si>
    <t>Classe :</t>
  </si>
  <si>
    <t>CID2B</t>
  </si>
  <si>
    <t>Lieu :</t>
  </si>
  <si>
    <t>Vennes - Lausanne</t>
  </si>
  <si>
    <t>Date Début :</t>
  </si>
  <si>
    <t>Date Fin:</t>
  </si>
  <si>
    <t>Nombre de semaines:</t>
  </si>
  <si>
    <t>Nombre de Périodes/Semaine :</t>
  </si>
  <si>
    <t>Nombre de 1/4 heure/Période:</t>
  </si>
  <si>
    <t xml:space="preserve"> </t>
  </si>
  <si>
    <t>Liste des tâches</t>
  </si>
  <si>
    <t>Tâche obligatoire:</t>
  </si>
  <si>
    <t>Absence - Imprévus</t>
  </si>
  <si>
    <t>Journal de travail</t>
  </si>
  <si>
    <t>Rapport</t>
  </si>
  <si>
    <t>Théorie / Prof</t>
  </si>
  <si>
    <t>Planification</t>
  </si>
  <si>
    <t>Site web - HTML CSS</t>
  </si>
  <si>
    <t>Token JWT</t>
  </si>
  <si>
    <t>Hashage et salage</t>
  </si>
  <si>
    <t>Github</t>
  </si>
  <si>
    <t>Authentification</t>
  </si>
  <si>
    <t>Protection contre injections SQL</t>
  </si>
  <si>
    <t>Docker</t>
  </si>
  <si>
    <t>Tâches - objectifs</t>
  </si>
  <si>
    <t>Nb 1/4 heure</t>
  </si>
  <si>
    <t>Total planifié</t>
  </si>
  <si>
    <t>Total réalisé</t>
  </si>
  <si>
    <t>Semaine</t>
  </si>
  <si>
    <t>Tâche</t>
  </si>
  <si>
    <t>Durée
[1/4 h.]</t>
  </si>
  <si>
    <r>
      <t>Explications:</t>
    </r>
    <r>
      <rPr>
        <b/>
        <sz val="10"/>
        <rFont val="Century Gothic"/>
        <family val="2"/>
        <scheme val="minor"/>
      </rPr>
      <t xml:space="preserve"> qu'est-ce qui se fait et comment ?</t>
    </r>
  </si>
  <si>
    <t>Liens, références, …</t>
  </si>
  <si>
    <t>Total semaine</t>
  </si>
  <si>
    <t>Introduction du projet + lire cahier de charges</t>
  </si>
  <si>
    <t>Planification des deux semaines</t>
  </si>
  <si>
    <t>Création de repo github + invititation au prof</t>
  </si>
  <si>
    <t>Site html/css avec les pages demandés</t>
  </si>
  <si>
    <t>Max. 24</t>
  </si>
  <si>
    <t>Dockerisation du projet et créer une base de données</t>
  </si>
  <si>
    <t>Reiseignement de ce que cest le token JWT et essayer de le mettre en place dans mon projet</t>
  </si>
  <si>
    <t>M'informer et le mettre en place dans mon projet</t>
  </si>
  <si>
    <t>STOP</t>
  </si>
  <si>
    <t>Début:</t>
  </si>
  <si>
    <t>Introduction de projet et explication de la part du prof</t>
  </si>
  <si>
    <t>Point avec le prof, il a repondu à nos questions</t>
  </si>
  <si>
    <t>J'ai remplacé les informations</t>
  </si>
  <si>
    <t>Problèmes avec la conection</t>
  </si>
  <si>
    <t>J'ai demandé à l'IA lequel était le problème, j'ai appris qu'on doit pas faire une double instance et beaucoup moins double port. &gt;&gt;&gt; Problème resolu, la page d'accueil marche bien</t>
  </si>
  <si>
    <t>ChatGPT</t>
  </si>
  <si>
    <t xml:space="preserve">Présentation de Charles Henri et Antoine </t>
  </si>
  <si>
    <t>Théorie du prof =&gt; Architecture simple d'une appliction Node JS</t>
  </si>
  <si>
    <t>pptx module</t>
  </si>
  <si>
    <t>Glassmorphism login Form Tutorial in html css</t>
  </si>
  <si>
    <t>Théorie du prof =&gt; Authentification + Sel + Poivre + Hash comparaison avec la db, nous avons fait une diagrame sur papier de comment ca marche l'interaction avec la Db et le serveur et client.</t>
  </si>
  <si>
    <t>Support de cours</t>
  </si>
  <si>
    <t>PhpMyAdmin</t>
  </si>
  <si>
    <t>https://www.geeksforgeeks.org/how-to-connect-to-a-mysql-database-using-the-mysql2-package-in-node-js/</t>
  </si>
  <si>
    <t>commandes du tableau =&gt; docker compose down/prune/compose</t>
  </si>
  <si>
    <t>J'ai completé mon journal de travail de cette semaine.</t>
  </si>
  <si>
    <t>https://developer.mozilla.org/fr/docs/Learn_web_development/Extensions/Forms/Sending_and_retrieving_form_data</t>
  </si>
  <si>
    <t>Nous avons eu un peu de temps pour finir l'exercice XSS, afin de comprendre que l'innerHTML dans notre code fasse qu'au moment de remplir un formulaire prenne pas en compte les caractères de echapements et donc faire executer un script malicieux.</t>
  </si>
  <si>
    <t>https://stackoverflow.com/questions/8367031/how-do-i-install-package-json-dependencies-in-the-current-directory-using-npm</t>
  </si>
  <si>
    <t>J'ai fait mon journal de travail de cette semaine</t>
  </si>
  <si>
    <t>https://www.npmjs.com/package/crypto-js
https://www.freecodecamp.org/news/how-to-hash-passwords-with-bcrypt-in-nodejs/</t>
  </si>
  <si>
    <t>https://github.com/GHerreraE/P_APP_183_SecuredWebShop_GHE/commit/00244f8875c0a63af3fc126f3a80f57187b6aae8</t>
  </si>
  <si>
    <t>https://github.com/GHerreraE/P_APP_183_SecuredWebShop_GHE/commit/59dea4b3aff44d56aecd1882a68731eb5434b8cb</t>
  </si>
  <si>
    <t>https://github.com/GHerreraE/P_APP_183_SecuredWebShop_GHE/commit/59dea4b3aff44d56aecd1882a68731eb5434b8cb#diff-8f8b2365a2d006409a2e4b5454c460353d6019f95276e84ef1d4de5d2613499f</t>
  </si>
  <si>
    <t>https://github.com/GHerreraE/P_APP_183_SecuredWebShop_GHE/commit/f87a67198a2cdaefbdb5f1725a4cfd82aebcb83d#diff-8face169a2cff7259014c38d5a7311c14b48513238026106ba5922cba24cfd14</t>
  </si>
  <si>
    <t>Création de l'authentification</t>
  </si>
  <si>
    <t>Je pense commencer la semaine 3 avec la création de l'authentification</t>
  </si>
  <si>
    <t>Création du Token JWT</t>
  </si>
  <si>
    <t>Création et début du rapport du projet</t>
  </si>
  <si>
    <t>Remplir le JDT avec ce que j'ai fais</t>
  </si>
  <si>
    <t>Utilisation du token pour se rappeller des utilisateurs, et bien authentifier les personnes qui se connectent</t>
  </si>
  <si>
    <t>Continuer sur l'authentification et création de compte</t>
  </si>
  <si>
    <t>Accès sécurisé</t>
  </si>
  <si>
    <t>Sécuriser l'accès des utilisateurs</t>
  </si>
  <si>
    <t>Remplir le JDT avec ce que j'ai fait</t>
  </si>
  <si>
    <t>Page client</t>
  </si>
  <si>
    <t>Création de la page où le contenu du site est affiché, donc le site e-commerce</t>
  </si>
  <si>
    <t>Protection</t>
  </si>
  <si>
    <t>Sécuriser le site web afin d'éviter des injections SQL, etc.</t>
  </si>
  <si>
    <t>Remplir JDT avec ce que j'ai fait</t>
  </si>
  <si>
    <t>Continuer sur le rapport et le finir</t>
  </si>
  <si>
    <t>Github - Mettre en place l'environnement de travail</t>
  </si>
  <si>
    <t>https://github.com/GHerreraE/P_APP_183_SecuredWebShop_GHE</t>
  </si>
  <si>
    <t>Docker - Mise en place d'environnement de travail</t>
  </si>
  <si>
    <t>Code - Mise en place de routes</t>
  </si>
  <si>
    <t>Code - Mise en place de controleurs</t>
  </si>
  <si>
    <t>Code - Connecter le serveur avec la DB</t>
  </si>
  <si>
    <t>Code - Créer des views</t>
  </si>
  <si>
    <t>Code - Faire le CSS de views</t>
  </si>
  <si>
    <t>J'ai fait le code html pour le formulaire du login et ensuite avec ce meme formulaire j'en ai fait un pour la page de s'enregistrer. =&gt; ETAT = Ok</t>
  </si>
  <si>
    <t>Mise en place de environnement de travail avec github. =&gt; ETAT = ok</t>
  </si>
  <si>
    <t xml:space="preserve">Planification pour cette semaine et la semaine prochaine =&gt; ETAT = Prêt </t>
  </si>
  <si>
    <t>Docker compose installé mais avec des soucis, j'ai appelé le prof =&gt; Ok</t>
  </si>
  <si>
    <t>J'ai fait une copie de controlers et des routes pour créer une conection avec la page de accueil qu'aussi je viens de créer =&gt; ETAT = OK</t>
  </si>
  <si>
    <t>J'ai crée des templates et je les ai modifiée. J'ai aussi fait la modification de routes et modifications dans le serveur afin de pouvoir afficher un titre + le contenu d'une variable =&gt; Fonctionne bien</t>
  </si>
  <si>
    <t>Le conteneur docker ne marchait pas, donc le prof nous a expliqué comment commencer de zero notre docker, avec une commande "docker system preneu". =&gt; ETAT : Ok, mais mes autres containner se sont supprimé</t>
  </si>
  <si>
    <t>J'ai fait le CSS, de manière basique pour la page de login et register. =&gt; ETAT = Ok</t>
  </si>
  <si>
    <t xml:space="preserve">J'ai pris un exemple d'un site web avec un HTML , et je l'ai adapté à mon projet. </t>
  </si>
  <si>
    <t>J'ai pris aussi le CSS de cette exemple de HTML et je l'ai adapté à mon projet. =&gt; ETAT = Ok, des bonnes views.</t>
  </si>
  <si>
    <t>J'ai installé le module mysql et j'ai crée ma base de donnée avec la table t_user et les 4 colonnes que j'ai besoin. =&gt; ETAT : Ne marche pas</t>
  </si>
  <si>
    <t>J'ai crée un fichier mysql.js pour faire une connection avec la db, mais au momment de chercher la database que j'avais crée juste avant, il ne la trouvait pas, donc j'ai du de down mes containers docker pour tout reinstaller avec le docker compose. Ensuite j'ai reesaye et ca marchait bien la connection. =&gt; ETAT : Ca marche bien</t>
  </si>
  <si>
    <t>J'ai compris qu'on devait pas d'installer mysql2 dans notre machine en local, sinon dans notre container docker. J'ai effacé tous les fichier de node_modules et j'ai reinstalle mysql dans le container. J'ai eu problèmes pour essayer de garder mes autres containers mais je n'ai pas trouvé une solution, donc j'ai du de tout effacer. =&gt; ETAT = Ok</t>
  </si>
  <si>
    <t>Faire le journal de travail</t>
  </si>
  <si>
    <t>Code - Sauvegarder les données dans la DB</t>
  </si>
  <si>
    <t>Je n'ai pas pu terminé le fichier server.js pour réenvoyer les données d'enregistrement d'un user dans la base de données. =&gt; ETAT = Pas terminé, à finir pour la semaine prochaine</t>
  </si>
  <si>
    <t>Problème avec le démarrage de mon container docker, j'ai oublié que maintenantn tout était installé dans le container et pas en local, donc au moment que je voulais démarrer mon projet avec "npm start" alors crash. = ETAT = Le container marche bien.</t>
  </si>
  <si>
    <t>Code - Encryptation des données</t>
  </si>
  <si>
    <t>En laissant ca de coté, j'ai continué à faire la partie  de l'hash et sal, au debut j'ai voulu faire avec bcrypt mais j'ai trouvé le problem qu'on pouvait pas l'installer et après je me suis rendu compte qu'on doit pas travailler pour l'instant avec, donc j'ai fait de recherches pour pouvoir sal et hasher et j'ai trouvé la libririe crypto. Le état du code =&gt; manque faire marcher ca et l'enregistrement de données et aussi le login.</t>
  </si>
  <si>
    <t xml:space="preserve">Puisque la conecction entre la db et le container et fait, j'ai essayé de faire l'enregistrement des données du formulaire de la page de registre dans la db, mais je n'ai pas pu reussir. </t>
  </si>
  <si>
    <t>Code - Créer la table t_users</t>
  </si>
  <si>
    <t>Code - Faire l'hashage et salage</t>
  </si>
  <si>
    <t>Je suis pas venu en cours, car j'ai fait une demande de congé pour des raisons personelles.</t>
  </si>
  <si>
    <t xml:space="preserve">J'ai fait deux fichier .js 
1. Un fichier pour la connection à la database et aussi la création de la table t_user avec ses champs correspondant, afin de l'utiliser juste au moment que je redemarre mon projet dans un autre PC ou meme si je fais un clean de containers docker, j'apelle cette fichier dans le serveur et tout est ok pour travailler. = ETAT = Ca marche, mais il faut commenter (mettre // ) pour ne pas executer ce fichier chaque fois qu'on fait un sauvegarde
</t>
  </si>
  <si>
    <t>Un fichier pour juste la connection à la database, lequel servira pour chaque fonction des controllers. =&gt; ETAT = Fonctionne bien</t>
  </si>
  <si>
    <t xml:space="preserve">Modification faites
- Création d'un fichier loginController.js avec des fonctions pour prendre les donnes de la base de données, faire une hash avec les données renvoyes par le formulaire et les comparer et faire une verification.
- Création d'un fichier registerController.js avec des fonctions presque pareils que loginController.
- Import des cettes fonctions pour les utiliser. 
ETAT DU CODE =&gt; Création des users fonctionne, mais le login ne marche pas très bien             </t>
  </si>
  <si>
    <t>Création des nouvelles views avec css, pour afficher de manière propre une page post Login et post creation d'un compte. Bien sur aussi des modifications sur les controllers pour les appeler correctement et aussi création de nouvelles routes pour definir la route /postLogin et /postRegister = ETAT OK</t>
  </si>
  <si>
    <t>Code - Génerer un token JWT</t>
  </si>
  <si>
    <t>Création du controller authController pour generer un token en utilisant la librerie jsonwebtoken (j'ai du l'installer) avec une clé secret.
La création d'un middleware aussi a été fait, pour la validation de cette token au moment que l'utilisateur veut intereagir avec autres pages, toujours en gardant le secret key. = ETAT = La géneration apparaitment est fait, mais il faut que je fasse la generation de cookies pour verifier</t>
  </si>
  <si>
    <t>Création d'une page dashboard laquelle sera protegé avec la validation du token afin de ne pas donner accès tant que le token soit pas validé, alors celle la remplazera la page de postRegister. =&gt; Ok</t>
  </si>
  <si>
    <t>Je fais le CSS des pages que j'ai crée aujourd'hui, donc une page post Login et post Creation d'u ncompte et aussi le dashboard = Ok</t>
  </si>
  <si>
    <t>Evaluation - 80%</t>
  </si>
  <si>
    <t>J'ai eu ma evaluation à 80% du projet. 
Code =&gt; Il me manque à finir la géneration du token et aussi les cookies
JdT =&gt; Specifier les noms des taches avec un verbe et mettre un etat du code 
Rapport =&gt; Faire le rapport et ajouter une partie eco-conception et faire un schema du fonctionnement de l'application</t>
  </si>
  <si>
    <t xml:space="preserve">Suite à l'eval que j'ai eu, j'ai fait des modification dans mon journal de travail. ETAT =&gt; A mon avis, rendable </t>
  </si>
  <si>
    <t>Demande de congé</t>
  </si>
  <si>
    <t>Finir la generation du token pour chaque session</t>
  </si>
  <si>
    <t>Encryper les données dans la base de données</t>
  </si>
  <si>
    <t>Faire le journal de travial</t>
  </si>
  <si>
    <t>Planification de cette semaine et la semaine prochaine</t>
  </si>
  <si>
    <t xml:space="preserve">Faire le rapport </t>
  </si>
  <si>
    <t>Code</t>
  </si>
  <si>
    <t xml:space="preserve">Faire le routage avec users et changer y bcrypt + page admin </t>
  </si>
  <si>
    <t>J'ai fait une route /logout pour se deconnecter avec un effacement de cookies après de se deconnecter, de facons qu'on reutilise pas un cookies pour se reconnecter à une session.</t>
  </si>
  <si>
    <t>https://github.com/GHerreraE/P_APP_183_SecuredWebShop_GHE/commit/6849a489e6b8b044a06dfc933ef1b8c18e49bd0b</t>
  </si>
  <si>
    <t xml:space="preserve">J'ai du de recréer toute la table t_users avec la création d'un user admin afin de faire de test pour se connecter comment un admin et user. J'ai mis dans .env la variable key pour l'encryption aussi. </t>
  </si>
  <si>
    <t>Code - Generer les cookies avec parsecookies</t>
  </si>
  <si>
    <t>https://github.com/GHerreraE/P_APP_183_SecuredWebShop_GHE/commit/f91daa0472edd51480a47906573c4b5900077133</t>
  </si>
  <si>
    <t>https://www.geeksforgeeks.org/express-js-res-clearcookie-function/
https://github.com/GHerreraE/P_APP_183_SecuredWebShop_GHE/commit/22ae746db308dae1137e134264640005ef5b066e</t>
  </si>
  <si>
    <t>Code - Routage</t>
  </si>
  <si>
    <t>J'ai essayé de faire le bon routage pour la page postLogin mais, je n'ai pas pu le faire. ETAT à finir pour la semaine prochaine</t>
  </si>
  <si>
    <t>J'ai genérer des cookies avec une session et j'ai installé dans mon environnement parsecookies. ETAT ca marche tout ok</t>
  </si>
  <si>
    <t>https://github.com/GHerreraE/P_APP_183_SecuredWebShop_GHE/commit/f213b54dcc99617a547587e2b4c3f9f0ec2ddcc1</t>
  </si>
  <si>
    <t>Code - Créer database</t>
  </si>
  <si>
    <t>https://www.w3schools.com/nodejs/nodejs_mysql_create_db.asp</t>
  </si>
  <si>
    <t>Code - Créer users</t>
  </si>
  <si>
    <t>createTable.js -&gt; J'ai crée la fonction pour créer la database si elle n'existe pas -&gt; ETAT CA MARCHE</t>
  </si>
  <si>
    <t xml:space="preserve">createTable.js -&gt; J'ai ajouté dans la fonction de créer la tables t_users, la création de deux users (admin et user) -&gt; ETAT OK </t>
  </si>
  <si>
    <t>https://www.w3schools.com/nodejs/nodejs_mysql_insert.asp</t>
  </si>
  <si>
    <t>https://github.com/GHerreraE/P_APP_183_SecuredWebShop_GHE/commit/8dcdafcd08f982549e4b4205e587c3947109b3f6#diff-cd62758042df846c47f8f53b9f722bceec86f52a9f9e5ce9c51f151e454a25d2</t>
  </si>
  <si>
    <t>J'ai modifié le nom de la view "profile" par "users" puisque dans le cahier de charges est demandé de faire une route comme ca, mais pour ne pas confondre j'ai changé de nom.
Aussi j'ai fait de modification pour le champ username -&gt; user. ETAT OK</t>
  </si>
  <si>
    <t>J'ai fait la meme modification qu'en haut -&gt; profile.css -&gt; users.css. ETAT OK</t>
  </si>
  <si>
    <t>https://openclassrooms.com/forum/sujet/nodejs-recuperer-les-donnees-d-une-requete-mysql</t>
  </si>
  <si>
    <t>J'ai fait le css de cette view. ETAT OK</t>
  </si>
  <si>
    <t>J'ai crée une nouvelle vue, pour afficher une page admin avec une barre de recherche afin d'avoir une liste de tous les utilisateurs enregistrés dans la DB et les afficher. Je recupère l'ID, username et role pour chaque user. ETAT OK -&gt; Manque mettre la route pour l'afficher</t>
  </si>
  <si>
    <t>J'ai crée un nouveau controler "adminController" qui recupere le role de l'utiisateur connecté et verifié si c'est bien l'admin ou pas, si c'est le cas alors il te permet d'aller dans la page suivante et recupère la liste d'users ou un user selon le nom.</t>
  </si>
  <si>
    <t>https://www.corbado.com/blog/nodejs-express-mysql-jwt-authentication-roles</t>
  </si>
  <si>
    <t>https://github.com/GHerreraE/P_APP_183_SecuredWebShop_GHE/commit/2beae7fec6c5bead087370c3894e8dd97533a9bd</t>
  </si>
  <si>
    <t>https://expressjs.com/en/guide/routing.html</t>
  </si>
  <si>
    <t>J'ai fait des modification sur le controllers de login et auth et aussi le middleware afin de generer un token JWT qui inclus l'ID et role de l'utilisateur, de cette facons on peut naviger sur la page d'admin seulement quand on est admin. ETAT OK</t>
  </si>
  <si>
    <t>J'ai ajouté quatre routes 
- /users -&gt;  te redirige sur /users/ton username
- /users/username -&gt; affiche la page avec le username et role + affichage de ton username en la route avec un requete qui cherche ton username
- /admin -&gt; affiche la page admin
- /admin (post) -&gt; passe par le controller pour gerer les requetes sql et cherche un user
ETAT OK</t>
  </si>
  <si>
    <t>Code - Commentaires</t>
  </si>
  <si>
    <t>J'ai ajouté de commentaires dans mon code pour une meilleure comprehension et aussi rendre le projet.</t>
  </si>
  <si>
    <t>J'ai fait mon rapport avec tous les parties demandés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</si>
</sst>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8"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u/>
      <sz val="10"/>
      <color theme="1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5">
    <xf numFmtId="0" fontId="0" fillId="0" borderId="0"/>
    <xf numFmtId="0" fontId="1" fillId="0" borderId="0" applyNumberFormat="0" applyFill="0" applyBorder="0" applyAlignment="0" applyProtection="0">
      <alignment vertical="top"/>
      <protection locked="0"/>
    </xf>
    <xf numFmtId="0" fontId="8" fillId="0" borderId="0"/>
    <xf numFmtId="0" fontId="5" fillId="0" borderId="0"/>
    <xf numFmtId="0" fontId="17" fillId="0" borderId="0" applyNumberFormat="0" applyFill="0" applyBorder="0" applyAlignment="0" applyProtection="0"/>
  </cellStyleXfs>
  <cellXfs count="105">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9" fillId="4" borderId="13" xfId="0" applyFont="1" applyFill="1" applyBorder="1" applyAlignment="1">
      <alignment horizontal="left" vertical="top" wrapText="1"/>
    </xf>
    <xf numFmtId="0" fontId="16" fillId="9" borderId="0" xfId="0" applyFont="1" applyFill="1"/>
    <xf numFmtId="0" fontId="9" fillId="12" borderId="13" xfId="0" applyFont="1" applyFill="1" applyBorder="1" applyAlignment="1">
      <alignment horizontal="left" vertical="top" wrapText="1"/>
    </xf>
    <xf numFmtId="0" fontId="0" fillId="0" borderId="1" xfId="0" applyBorder="1" applyAlignment="1" applyProtection="1">
      <alignment horizontal="left" vertical="top" wrapText="1"/>
      <protection locked="0"/>
    </xf>
    <xf numFmtId="0" fontId="0" fillId="0" borderId="2" xfId="0"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0" fillId="9" borderId="0" xfId="0" applyFill="1" applyAlignment="1">
      <alignment wrapText="1"/>
    </xf>
    <xf numFmtId="0" fontId="1" fillId="0" borderId="0" xfId="1" applyAlignment="1" applyProtection="1"/>
    <xf numFmtId="0" fontId="17" fillId="0" borderId="2" xfId="4" applyBorder="1" applyAlignment="1" applyProtection="1">
      <alignment horizontal="left" vertical="top" wrapText="1"/>
      <protection locked="0"/>
    </xf>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1" fillId="0" borderId="2" xfId="1" applyBorder="1" applyAlignment="1" applyProtection="1">
      <alignment horizontal="left" vertical="top" wrapText="1"/>
      <protection locked="0"/>
    </xf>
    <xf numFmtId="0" fontId="1" fillId="0" borderId="1" xfId="1" applyBorder="1" applyAlignment="1" applyProtection="1">
      <alignment horizontal="left" vertical="top" wrapText="1"/>
      <protection locked="0"/>
    </xf>
    <xf numFmtId="1" fontId="0" fillId="0" borderId="2" xfId="1" applyNumberFormat="1" applyFont="1" applyFill="1" applyBorder="1" applyAlignment="1" applyProtection="1">
      <alignment horizontal="center" vertical="center" wrapText="1"/>
      <protection locked="0"/>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2" fillId="7" borderId="20" xfId="0" applyFont="1" applyFill="1" applyBorder="1" applyAlignment="1">
      <alignment horizontal="left" vertical="center" indent="1"/>
    </xf>
    <xf numFmtId="0" fontId="0" fillId="7" borderId="19" xfId="0" applyFill="1" applyBorder="1" applyAlignment="1"/>
  </cellXfs>
  <cellStyles count="5">
    <cellStyle name="Hyperlink" xfId="4" xr:uid="{00000000-000B-0000-0000-000008000000}"/>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9937" name="btnImportPlanification" hidden="1">
              <a:extLst>
                <a:ext uri="{63B3BB69-23CF-44E3-9099-C40C66FF867C}">
                  <a14:compatExt spid="_x0000_s39937"/>
                </a:ext>
                <a:ext uri="{FF2B5EF4-FFF2-40B4-BE49-F238E27FC236}">
                  <a16:creationId xmlns:a16="http://schemas.microsoft.com/office/drawing/2014/main" id="{00000000-0008-0000-04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0961" name="btnImportRealisation" hidden="1">
              <a:extLst>
                <a:ext uri="{63B3BB69-23CF-44E3-9099-C40C66FF867C}">
                  <a14:compatExt spid="_x0000_s40961"/>
                </a:ext>
                <a:ext uri="{FF2B5EF4-FFF2-40B4-BE49-F238E27FC236}">
                  <a16:creationId xmlns:a16="http://schemas.microsoft.com/office/drawing/2014/main" id="{00000000-0008-0000-06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8" Type="http://schemas.openxmlformats.org/officeDocument/2006/relationships/hyperlink" Target="https://github.com/GHerreraE/P_APP_183_SecuredWebShop_GHE/commit/59dea4b3aff44d56aecd1882a68731eb5434b8cb" TargetMode="External"/><Relationship Id="rId13" Type="http://schemas.openxmlformats.org/officeDocument/2006/relationships/hyperlink" Target="https://github.com/GHerreraE/P_APP_183_SecuredWebShop_GHE/commit/f213b54dcc99617a547587e2b4c3f9f0ec2ddcc1" TargetMode="External"/><Relationship Id="rId18" Type="http://schemas.openxmlformats.org/officeDocument/2006/relationships/hyperlink" Target="https://www.corbado.com/blog/nodejs-express-mysql-jwt-authentication-roles" TargetMode="External"/><Relationship Id="rId3" Type="http://schemas.openxmlformats.org/officeDocument/2006/relationships/hyperlink" Target="https://developer.mozilla.org/fr/docs/Learn_web_development/Extensions/Forms/Sending_and_retrieving_form_data" TargetMode="External"/><Relationship Id="rId21" Type="http://schemas.openxmlformats.org/officeDocument/2006/relationships/printerSettings" Target="../printerSettings/printerSettings5.bin"/><Relationship Id="rId7" Type="http://schemas.openxmlformats.org/officeDocument/2006/relationships/hyperlink" Target="https://github.com/GHerreraE/P_APP_183_SecuredWebShop_GHE/commit/59dea4b3aff44d56aecd1882a68731eb5434b8cb" TargetMode="External"/><Relationship Id="rId12" Type="http://schemas.openxmlformats.org/officeDocument/2006/relationships/hyperlink" Target="https://github.com/GHerreraE/P_APP_183_SecuredWebShop_GHE/commit/f91daa0472edd51480a47906573c4b5900077133" TargetMode="External"/><Relationship Id="rId17" Type="http://schemas.openxmlformats.org/officeDocument/2006/relationships/hyperlink" Target="https://openclassrooms.com/forum/sujet/nodejs-recuperer-les-donnees-d-une-requete-mysql" TargetMode="External"/><Relationship Id="rId25" Type="http://schemas.openxmlformats.org/officeDocument/2006/relationships/image" Target="../media/image8.emf"/><Relationship Id="rId2" Type="http://schemas.openxmlformats.org/officeDocument/2006/relationships/hyperlink" Target="https://www.geeksforgeeks.org/how-to-connect-to-a-mysql-database-using-the-mysql2-package-in-node-js/" TargetMode="External"/><Relationship Id="rId16" Type="http://schemas.openxmlformats.org/officeDocument/2006/relationships/hyperlink" Target="https://github.com/GHerreraE/P_APP_183_SecuredWebShop_GHE/commit/8dcdafcd08f982549e4b4205e587c3947109b3f6" TargetMode="External"/><Relationship Id="rId20" Type="http://schemas.openxmlformats.org/officeDocument/2006/relationships/hyperlink" Target="https://expressjs.com/en/guide/routing.html" TargetMode="External"/><Relationship Id="rId1" Type="http://schemas.openxmlformats.org/officeDocument/2006/relationships/hyperlink" Target="https://codepen.io/fghty/pen/PojKNEG" TargetMode="External"/><Relationship Id="rId6" Type="http://schemas.openxmlformats.org/officeDocument/2006/relationships/hyperlink" Target="https://github.com/GHerreraE/P_APP_183_SecuredWebShop_GHE/commit/00244f8875c0a63af3fc126f3a80f57187b6aae8" TargetMode="External"/><Relationship Id="rId11" Type="http://schemas.openxmlformats.org/officeDocument/2006/relationships/hyperlink" Target="https://github.com/GHerreraE/P_APP_183_SecuredWebShop_GHE/commit/6849a489e6b8b044a06dfc933ef1b8c18e49bd0b" TargetMode="External"/><Relationship Id="rId24" Type="http://schemas.openxmlformats.org/officeDocument/2006/relationships/control" Target="../activeX/activeX7.xml"/><Relationship Id="rId5" Type="http://schemas.openxmlformats.org/officeDocument/2006/relationships/hyperlink" Target="https://www.npmjs.com/package/crypto-js" TargetMode="External"/><Relationship Id="rId15" Type="http://schemas.openxmlformats.org/officeDocument/2006/relationships/hyperlink" Target="https://www.w3schools.com/nodejs/nodejs_mysql_insert.asp" TargetMode="External"/><Relationship Id="rId23" Type="http://schemas.openxmlformats.org/officeDocument/2006/relationships/vmlDrawing" Target="../drawings/vmlDrawing6.vml"/><Relationship Id="rId10" Type="http://schemas.openxmlformats.org/officeDocument/2006/relationships/hyperlink" Target="https://github.com/GHerreraE/P_APP_183_SecuredWebShop_GHE" TargetMode="External"/><Relationship Id="rId19" Type="http://schemas.openxmlformats.org/officeDocument/2006/relationships/hyperlink" Target="https://github.com/GHerreraE/P_APP_183_SecuredWebShop_GHE/commit/2beae7fec6c5bead087370c3894e8dd97533a9bd" TargetMode="External"/><Relationship Id="rId4" Type="http://schemas.openxmlformats.org/officeDocument/2006/relationships/hyperlink" Target="https://stackoverflow.com/questions/8367031/how-do-i-install-package-json-dependencies-in-the-current-directory-using-npm" TargetMode="External"/><Relationship Id="rId9" Type="http://schemas.openxmlformats.org/officeDocument/2006/relationships/hyperlink" Target="https://github.com/GHerreraE/P_APP_183_SecuredWebShop_GHE/commit/f87a67198a2cdaefbdb5f1725a4cfd82aebcb83d" TargetMode="External"/><Relationship Id="rId14" Type="http://schemas.openxmlformats.org/officeDocument/2006/relationships/hyperlink" Target="https://www.w3schools.com/nodejs/nodejs_mysql_create_db.asp" TargetMode="External"/><Relationship Id="rId22"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view="pageBreakPreview" topLeftCell="A17" zoomScaleNormal="100" zoomScaleSheetLayoutView="100" workbookViewId="0">
      <selection activeCell="C42" sqref="C42"/>
    </sheetView>
  </sheetViews>
  <sheetFormatPr baseColWidth="10" defaultColWidth="11.5703125" defaultRowHeight="13.5" x14ac:dyDescent="0.2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x14ac:dyDescent="0.25">
      <c r="A1" s="54"/>
      <c r="B1" s="55"/>
      <c r="C1" s="55"/>
      <c r="D1" s="55"/>
      <c r="E1" s="55"/>
      <c r="F1" s="55"/>
      <c r="G1" s="56"/>
    </row>
    <row r="2" spans="1:7" ht="14.25" thickBot="1" x14ac:dyDescent="0.3">
      <c r="A2" s="58"/>
      <c r="B2" s="59"/>
      <c r="C2" s="59"/>
      <c r="D2" s="59"/>
      <c r="E2" s="59"/>
      <c r="F2" s="59"/>
      <c r="G2" s="60"/>
    </row>
    <row r="3" spans="1:7" ht="20.25" x14ac:dyDescent="0.25">
      <c r="A3" s="58"/>
      <c r="B3" s="61" t="s">
        <v>0</v>
      </c>
      <c r="C3" s="62" t="s">
        <v>1</v>
      </c>
      <c r="D3" s="59"/>
      <c r="E3" s="59"/>
      <c r="F3" s="59"/>
      <c r="G3" s="60"/>
    </row>
    <row r="4" spans="1:7" ht="20.25" x14ac:dyDescent="0.25">
      <c r="A4" s="58"/>
      <c r="B4" s="63" t="s">
        <v>2</v>
      </c>
      <c r="C4" s="64" t="s">
        <v>3</v>
      </c>
      <c r="D4" s="59"/>
      <c r="E4" s="59"/>
      <c r="F4" s="59"/>
      <c r="G4" s="60"/>
    </row>
    <row r="5" spans="1:7" ht="20.25" x14ac:dyDescent="0.25">
      <c r="A5" s="58"/>
      <c r="B5" s="63" t="s">
        <v>4</v>
      </c>
      <c r="C5" s="64" t="s">
        <v>5</v>
      </c>
      <c r="D5" s="59"/>
      <c r="E5" s="59"/>
      <c r="F5" s="59"/>
      <c r="G5" s="60"/>
    </row>
    <row r="6" spans="1:7" ht="21" thickBot="1" x14ac:dyDescent="0.3">
      <c r="A6" s="58"/>
      <c r="B6" s="65" t="s">
        <v>6</v>
      </c>
      <c r="C6" s="66" t="s">
        <v>7</v>
      </c>
      <c r="D6" s="59"/>
      <c r="E6" s="59"/>
      <c r="F6" s="59"/>
      <c r="G6" s="60"/>
    </row>
    <row r="7" spans="1:7" x14ac:dyDescent="0.25">
      <c r="A7" s="58"/>
      <c r="B7" s="59"/>
      <c r="C7" s="59"/>
      <c r="D7" s="59"/>
      <c r="E7" s="59"/>
      <c r="F7" s="59"/>
      <c r="G7" s="60"/>
    </row>
    <row r="8" spans="1:7" ht="14.25" thickBot="1" x14ac:dyDescent="0.3">
      <c r="A8" s="58"/>
      <c r="B8" s="59"/>
      <c r="C8" s="59"/>
      <c r="D8" s="59"/>
      <c r="E8" s="59"/>
      <c r="F8" s="59"/>
      <c r="G8" s="60"/>
    </row>
    <row r="9" spans="1:7" ht="20.25" x14ac:dyDescent="0.25">
      <c r="A9" s="58"/>
      <c r="B9" s="61" t="s">
        <v>8</v>
      </c>
      <c r="C9" s="67">
        <v>45304</v>
      </c>
      <c r="D9" s="59"/>
      <c r="E9" s="59"/>
      <c r="F9" s="59"/>
      <c r="G9" s="60"/>
    </row>
    <row r="10" spans="1:7" ht="20.25" x14ac:dyDescent="0.25">
      <c r="A10" s="58"/>
      <c r="B10" s="68" t="s">
        <v>9</v>
      </c>
      <c r="C10" s="69">
        <v>45361</v>
      </c>
      <c r="D10" s="59"/>
      <c r="E10" s="59"/>
      <c r="F10" s="59"/>
      <c r="G10" s="60"/>
    </row>
    <row r="11" spans="1:7" ht="20.25" x14ac:dyDescent="0.25">
      <c r="A11" s="58"/>
      <c r="B11" s="68" t="s">
        <v>10</v>
      </c>
      <c r="C11" s="70">
        <v>8</v>
      </c>
      <c r="D11" s="59"/>
      <c r="E11" s="59"/>
      <c r="F11" s="59"/>
      <c r="G11" s="60"/>
    </row>
    <row r="12" spans="1:7" ht="20.25" x14ac:dyDescent="0.25">
      <c r="A12" s="58"/>
      <c r="B12" s="63" t="s">
        <v>11</v>
      </c>
      <c r="C12" s="71">
        <v>3</v>
      </c>
      <c r="D12" s="59"/>
      <c r="E12" s="59"/>
      <c r="F12" s="59"/>
      <c r="G12" s="60"/>
    </row>
    <row r="13" spans="1:7" ht="20.25" x14ac:dyDescent="0.25">
      <c r="A13" s="58"/>
      <c r="B13" s="63" t="s">
        <v>12</v>
      </c>
      <c r="C13" s="71">
        <v>8</v>
      </c>
      <c r="D13" s="59"/>
      <c r="E13" s="59"/>
      <c r="F13" s="59"/>
      <c r="G13" s="60"/>
    </row>
    <row r="14" spans="1:7" ht="20.25" thickBot="1" x14ac:dyDescent="0.3">
      <c r="A14" s="58"/>
      <c r="B14" s="72"/>
      <c r="C14" s="73" t="s">
        <v>13</v>
      </c>
      <c r="D14" s="59"/>
      <c r="E14" s="59"/>
      <c r="F14" s="59"/>
      <c r="G14" s="60"/>
    </row>
    <row r="15" spans="1:7" x14ac:dyDescent="0.25">
      <c r="A15" s="58"/>
      <c r="B15" s="59"/>
      <c r="C15" s="59"/>
      <c r="D15" s="59"/>
      <c r="E15" s="59"/>
      <c r="F15" s="59"/>
      <c r="G15" s="60"/>
    </row>
    <row r="16" spans="1:7" ht="14.25" thickBot="1" x14ac:dyDescent="0.3">
      <c r="A16" s="74"/>
      <c r="B16" s="75"/>
      <c r="C16" s="75"/>
      <c r="D16" s="75"/>
      <c r="E16" s="75"/>
      <c r="F16" s="75"/>
      <c r="G16" s="76"/>
    </row>
    <row r="17" spans="1:7" x14ac:dyDescent="0.25">
      <c r="A17" s="77"/>
      <c r="B17" s="55"/>
      <c r="C17" s="55"/>
      <c r="D17" s="55"/>
      <c r="E17" s="55"/>
      <c r="F17" s="55"/>
      <c r="G17" s="56"/>
    </row>
    <row r="18" spans="1:7" ht="14.25" thickBot="1" x14ac:dyDescent="0.3">
      <c r="A18" s="78"/>
      <c r="B18" s="59"/>
      <c r="C18" s="59"/>
      <c r="D18" s="59"/>
      <c r="E18" s="59"/>
      <c r="F18" s="59"/>
      <c r="G18" s="60"/>
    </row>
    <row r="19" spans="1:7" ht="21" thickBot="1" x14ac:dyDescent="0.3">
      <c r="A19" s="78"/>
      <c r="B19" s="101" t="s">
        <v>14</v>
      </c>
      <c r="C19" s="102"/>
      <c r="D19" s="59"/>
      <c r="E19" s="59"/>
      <c r="F19" s="59"/>
      <c r="G19" s="60"/>
    </row>
    <row r="20" spans="1:7" ht="20.25" x14ac:dyDescent="0.25">
      <c r="A20" s="78"/>
      <c r="B20" s="79" t="s">
        <v>15</v>
      </c>
      <c r="C20" s="80" t="s">
        <v>16</v>
      </c>
      <c r="D20" s="59"/>
      <c r="E20" s="59"/>
      <c r="F20" s="59"/>
      <c r="G20" s="60"/>
    </row>
    <row r="21" spans="1:7" ht="20.25" x14ac:dyDescent="0.25">
      <c r="A21" s="78"/>
      <c r="B21" s="79">
        <v>1</v>
      </c>
      <c r="C21" s="70" t="s">
        <v>20</v>
      </c>
      <c r="D21" s="59"/>
      <c r="E21" s="59"/>
      <c r="F21" s="59"/>
      <c r="G21" s="60"/>
    </row>
    <row r="22" spans="1:7" ht="20.25" x14ac:dyDescent="0.25">
      <c r="A22" s="78"/>
      <c r="B22" s="79">
        <v>2</v>
      </c>
      <c r="C22" s="70" t="s">
        <v>110</v>
      </c>
      <c r="D22" s="59"/>
      <c r="E22" s="59"/>
      <c r="F22" s="59"/>
      <c r="G22" s="60"/>
    </row>
    <row r="23" spans="1:7" ht="20.25" x14ac:dyDescent="0.25">
      <c r="A23" s="78"/>
      <c r="B23" s="81">
        <v>3</v>
      </c>
      <c r="C23" s="70" t="s">
        <v>18</v>
      </c>
      <c r="D23" s="59"/>
      <c r="E23" s="59"/>
      <c r="F23" s="59"/>
      <c r="G23" s="60"/>
    </row>
    <row r="24" spans="1:7" ht="20.25" x14ac:dyDescent="0.25">
      <c r="A24" s="78"/>
      <c r="B24" s="79">
        <v>4</v>
      </c>
      <c r="C24" s="70" t="s">
        <v>19</v>
      </c>
      <c r="D24" s="59"/>
      <c r="E24" s="59"/>
      <c r="F24" s="59"/>
      <c r="G24" s="60"/>
    </row>
    <row r="25" spans="1:7" ht="20.25" x14ac:dyDescent="0.25">
      <c r="A25" s="78"/>
      <c r="B25" s="79">
        <v>5</v>
      </c>
      <c r="C25" s="70" t="s">
        <v>26</v>
      </c>
      <c r="D25" s="59"/>
      <c r="E25" s="59"/>
      <c r="F25" s="59"/>
      <c r="G25" s="60"/>
    </row>
    <row r="26" spans="1:7" ht="20.25" x14ac:dyDescent="0.25">
      <c r="A26" s="78"/>
      <c r="B26" s="81">
        <v>6</v>
      </c>
      <c r="C26" s="71" t="s">
        <v>124</v>
      </c>
      <c r="D26" s="59"/>
      <c r="E26" s="59"/>
      <c r="F26" s="59"/>
      <c r="G26" s="60"/>
    </row>
    <row r="27" spans="1:7" ht="20.25" x14ac:dyDescent="0.25">
      <c r="A27" s="78"/>
      <c r="B27" s="79">
        <v>7</v>
      </c>
      <c r="C27" s="71" t="s">
        <v>118</v>
      </c>
      <c r="D27" s="59"/>
      <c r="E27" s="59"/>
      <c r="F27" s="59"/>
      <c r="G27" s="60"/>
    </row>
    <row r="28" spans="1:7" ht="20.25" x14ac:dyDescent="0.25">
      <c r="A28" s="78"/>
      <c r="B28" s="79">
        <v>8</v>
      </c>
      <c r="C28" s="70" t="s">
        <v>117</v>
      </c>
      <c r="D28" s="59"/>
      <c r="E28" s="59"/>
      <c r="F28" s="59"/>
      <c r="G28" s="60"/>
    </row>
    <row r="29" spans="1:7" ht="20.25" x14ac:dyDescent="0.25">
      <c r="A29" s="78"/>
      <c r="B29" s="81">
        <v>9</v>
      </c>
      <c r="C29" s="70" t="s">
        <v>114</v>
      </c>
      <c r="D29" s="59"/>
      <c r="E29" s="59"/>
      <c r="F29" s="59"/>
      <c r="G29" s="60"/>
    </row>
    <row r="30" spans="1:7" ht="20.25" x14ac:dyDescent="0.25">
      <c r="A30" s="78"/>
      <c r="B30" s="79">
        <v>10</v>
      </c>
      <c r="C30" s="70" t="s">
        <v>89</v>
      </c>
      <c r="D30" s="59"/>
      <c r="E30" s="59"/>
      <c r="F30" s="59"/>
      <c r="G30" s="60"/>
    </row>
    <row r="31" spans="1:7" ht="20.25" x14ac:dyDescent="0.25">
      <c r="A31" s="78"/>
      <c r="B31" s="79">
        <v>11</v>
      </c>
      <c r="C31" s="70" t="s">
        <v>91</v>
      </c>
      <c r="D31" s="59"/>
      <c r="E31" s="59"/>
      <c r="F31" s="59"/>
      <c r="G31" s="60"/>
    </row>
    <row r="32" spans="1:7" ht="20.25" x14ac:dyDescent="0.25">
      <c r="A32" s="78"/>
      <c r="B32" s="81">
        <v>12</v>
      </c>
      <c r="C32" s="71" t="s">
        <v>92</v>
      </c>
      <c r="D32" s="59"/>
      <c r="E32" s="59"/>
      <c r="F32" s="59"/>
      <c r="G32" s="60"/>
    </row>
    <row r="33" spans="1:7" ht="20.25" x14ac:dyDescent="0.25">
      <c r="A33" s="78"/>
      <c r="B33" s="79">
        <v>13</v>
      </c>
      <c r="C33" s="71" t="s">
        <v>93</v>
      </c>
      <c r="D33" s="59"/>
      <c r="E33" s="59"/>
      <c r="F33" s="59"/>
      <c r="G33" s="60"/>
    </row>
    <row r="34" spans="1:7" ht="20.25" x14ac:dyDescent="0.25">
      <c r="A34" s="78"/>
      <c r="B34" s="79">
        <v>14</v>
      </c>
      <c r="C34" s="70" t="s">
        <v>94</v>
      </c>
      <c r="D34" s="59"/>
      <c r="E34" s="59"/>
      <c r="F34" s="59"/>
      <c r="G34" s="60"/>
    </row>
    <row r="35" spans="1:7" ht="20.25" x14ac:dyDescent="0.25">
      <c r="A35" s="78"/>
      <c r="B35" s="81">
        <v>15</v>
      </c>
      <c r="C35" s="70" t="s">
        <v>95</v>
      </c>
      <c r="D35" s="59"/>
      <c r="E35" s="59"/>
      <c r="F35" s="59"/>
      <c r="G35" s="60"/>
    </row>
    <row r="36" spans="1:7" ht="20.25" x14ac:dyDescent="0.25">
      <c r="A36" s="78"/>
      <c r="B36" s="79">
        <v>16</v>
      </c>
      <c r="C36" s="70" t="s">
        <v>96</v>
      </c>
      <c r="D36" s="59"/>
      <c r="E36" s="59"/>
      <c r="F36" s="59"/>
      <c r="G36" s="60"/>
    </row>
    <row r="37" spans="1:7" ht="21" thickBot="1" x14ac:dyDescent="0.3">
      <c r="A37" s="78"/>
      <c r="B37" s="79">
        <v>17</v>
      </c>
      <c r="C37" s="83" t="s">
        <v>111</v>
      </c>
      <c r="D37" s="59"/>
      <c r="E37" s="59"/>
      <c r="F37" s="59"/>
      <c r="G37" s="60"/>
    </row>
    <row r="38" spans="1:7" ht="20.25" x14ac:dyDescent="0.25">
      <c r="A38" s="78"/>
      <c r="B38" s="81">
        <v>18</v>
      </c>
      <c r="C38" s="70" t="s">
        <v>128</v>
      </c>
      <c r="D38" s="59"/>
      <c r="E38" s="59"/>
      <c r="F38" s="59"/>
      <c r="G38" s="60"/>
    </row>
    <row r="39" spans="1:7" ht="20.25" x14ac:dyDescent="0.25">
      <c r="A39" s="78"/>
      <c r="B39" s="79">
        <v>19</v>
      </c>
      <c r="C39" s="70" t="s">
        <v>149</v>
      </c>
      <c r="D39" s="59"/>
      <c r="E39" s="59"/>
      <c r="F39" s="59"/>
      <c r="G39" s="60"/>
    </row>
    <row r="40" spans="1:7" ht="20.25" x14ac:dyDescent="0.25">
      <c r="A40" s="78"/>
      <c r="B40" s="79">
        <v>20</v>
      </c>
      <c r="C40" s="71" t="s">
        <v>151</v>
      </c>
      <c r="D40" s="59"/>
      <c r="E40" s="59"/>
      <c r="F40" s="59"/>
      <c r="G40" s="60"/>
    </row>
    <row r="41" spans="1:7" ht="20.25" x14ac:dyDescent="0.25">
      <c r="A41" s="78"/>
      <c r="B41" s="81">
        <v>21</v>
      </c>
      <c r="C41" s="71" t="s">
        <v>167</v>
      </c>
      <c r="D41" s="59"/>
      <c r="E41" s="59"/>
      <c r="F41" s="59"/>
      <c r="G41" s="60"/>
    </row>
    <row r="42" spans="1:7" ht="20.25" x14ac:dyDescent="0.25">
      <c r="A42" s="78"/>
      <c r="B42" s="79">
        <v>22</v>
      </c>
      <c r="C42" s="70"/>
      <c r="D42" s="59"/>
      <c r="E42" s="59"/>
      <c r="F42" s="59"/>
      <c r="G42" s="60"/>
    </row>
    <row r="43" spans="1:7" ht="20.25" x14ac:dyDescent="0.25">
      <c r="A43" s="78"/>
      <c r="B43" s="79">
        <v>23</v>
      </c>
      <c r="C43" s="70"/>
      <c r="D43" s="59"/>
      <c r="E43" s="59"/>
      <c r="F43" s="59"/>
      <c r="G43" s="60"/>
    </row>
    <row r="44" spans="1:7" ht="20.25" x14ac:dyDescent="0.25">
      <c r="A44" s="78"/>
      <c r="B44" s="81">
        <v>24</v>
      </c>
      <c r="C44" s="70"/>
      <c r="D44" s="59"/>
      <c r="E44" s="59"/>
      <c r="F44" s="59"/>
      <c r="G44" s="60"/>
    </row>
    <row r="45" spans="1:7" ht="21" thickBot="1" x14ac:dyDescent="0.3">
      <c r="A45" s="78"/>
      <c r="B45" s="82">
        <v>25</v>
      </c>
      <c r="C45" s="83"/>
      <c r="D45" s="59"/>
      <c r="E45" s="59"/>
      <c r="F45" s="59"/>
      <c r="G45" s="60"/>
    </row>
    <row r="46" spans="1:7" x14ac:dyDescent="0.25">
      <c r="A46" s="78"/>
      <c r="B46" s="55"/>
      <c r="C46" s="59"/>
      <c r="D46" s="59"/>
      <c r="E46" s="59"/>
      <c r="F46" s="59"/>
      <c r="G46" s="60"/>
    </row>
    <row r="47" spans="1:7" x14ac:dyDescent="0.25">
      <c r="A47" s="78"/>
      <c r="B47" s="59"/>
      <c r="C47" s="59"/>
      <c r="D47" s="59"/>
      <c r="E47" s="59"/>
      <c r="F47" s="59"/>
      <c r="G47" s="60"/>
    </row>
    <row r="48" spans="1:7" x14ac:dyDescent="0.25">
      <c r="A48" s="78"/>
      <c r="B48" s="59"/>
      <c r="C48" s="59"/>
      <c r="D48" s="59"/>
      <c r="E48" s="59"/>
      <c r="F48" s="59"/>
      <c r="G48" s="60"/>
    </row>
    <row r="49" spans="1:7" x14ac:dyDescent="0.25">
      <c r="A49" s="78"/>
      <c r="B49" s="59"/>
      <c r="C49" s="59"/>
      <c r="D49" s="59"/>
      <c r="E49" s="59"/>
      <c r="F49" s="59"/>
      <c r="G49" s="60"/>
    </row>
    <row r="50" spans="1:7" x14ac:dyDescent="0.25">
      <c r="A50" s="78"/>
      <c r="B50" s="59"/>
      <c r="C50" s="59"/>
      <c r="D50" s="59"/>
      <c r="E50" s="59"/>
      <c r="F50" s="59"/>
      <c r="G50" s="60"/>
    </row>
    <row r="51" spans="1:7" x14ac:dyDescent="0.25">
      <c r="A51" s="78"/>
      <c r="B51" s="59"/>
      <c r="C51" s="59"/>
      <c r="D51" s="59"/>
      <c r="E51" s="59"/>
      <c r="F51" s="59"/>
      <c r="G51" s="60"/>
    </row>
    <row r="52" spans="1:7" x14ac:dyDescent="0.25">
      <c r="A52" s="78"/>
      <c r="B52" s="59"/>
      <c r="C52" s="59"/>
      <c r="D52" s="59"/>
      <c r="E52" s="59"/>
      <c r="F52" s="59"/>
      <c r="G52" s="60"/>
    </row>
    <row r="53" spans="1:7" x14ac:dyDescent="0.25">
      <c r="A53" s="78"/>
      <c r="B53" s="59"/>
      <c r="C53" s="59"/>
      <c r="D53" s="59"/>
      <c r="E53" s="59"/>
      <c r="F53" s="59"/>
      <c r="G53" s="60"/>
    </row>
    <row r="54" spans="1:7" ht="14.25" thickBot="1" x14ac:dyDescent="0.3">
      <c r="A54" s="84"/>
      <c r="B54" s="75"/>
      <c r="C54" s="75"/>
      <c r="D54" s="75"/>
      <c r="E54" s="75"/>
      <c r="F54" s="75"/>
      <c r="G54" s="76"/>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2" r:id="rId5" name="btnCreateDiagram">
          <controlPr defaultSize="0" autoLine="0" r:id="rId6">
            <anchor moveWithCells="1">
              <from>
                <xdr:col>4</xdr:col>
                <xdr:colOff>9525</xdr:colOff>
                <xdr:row>1</xdr:row>
                <xdr:rowOff>161925</xdr:rowOff>
              </from>
              <to>
                <xdr:col>6</xdr:col>
                <xdr:colOff>76200</xdr:colOff>
                <xdr:row>3</xdr:row>
                <xdr:rowOff>200025</xdr:rowOff>
              </to>
            </anchor>
          </controlPr>
        </control>
      </mc:Choice>
      <mc:Fallback>
        <control shapeId="15362" r:id="rId5" name="btnCreateDiagram"/>
      </mc:Fallback>
    </mc:AlternateContent>
    <mc:AlternateContent xmlns:mc="http://schemas.openxmlformats.org/markup-compatibility/2006">
      <mc:Choice Requires="x14">
        <control shapeId="15364" r:id="rId7" name="btnCreatePlanning">
          <controlPr defaultSize="0" autoLine="0" r:id="rId8">
            <anchor moveWithCells="1">
              <from>
                <xdr:col>4</xdr:col>
                <xdr:colOff>9525</xdr:colOff>
                <xdr:row>5</xdr:row>
                <xdr:rowOff>9525</xdr:rowOff>
              </from>
              <to>
                <xdr:col>6</xdr:col>
                <xdr:colOff>95250</xdr:colOff>
                <xdr:row>7</xdr:row>
                <xdr:rowOff>47625</xdr:rowOff>
              </to>
            </anchor>
          </controlPr>
        </control>
      </mc:Choice>
      <mc:Fallback>
        <control shapeId="15364" r:id="rId7" name="btnCreatePlanning"/>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4" ht="14.25" thickBot="1" x14ac:dyDescent="0.3">
      <c r="B1" s="21"/>
      <c r="C1" s="21"/>
    </row>
    <row r="2" spans="1:4" ht="42.75" customHeight="1" thickBot="1" x14ac:dyDescent="0.3">
      <c r="A2" s="19"/>
      <c r="B2" s="23" t="s">
        <v>28</v>
      </c>
      <c r="C2" s="15" t="s">
        <v>29</v>
      </c>
    </row>
    <row r="3" spans="1:4" ht="19.5" customHeight="1" x14ac:dyDescent="0.25">
      <c r="A3" s="19"/>
      <c r="B3" s="103" t="s">
        <v>16</v>
      </c>
      <c r="C3" s="16">
        <v>0</v>
      </c>
    </row>
    <row r="4" spans="1:4" ht="19.5" customHeight="1" x14ac:dyDescent="0.25">
      <c r="A4" s="19"/>
      <c r="B4" s="104"/>
      <c r="C4" s="22">
        <v>0</v>
      </c>
      <c r="D4" s="29"/>
    </row>
    <row r="16" spans="1:4" ht="19.5" customHeight="1" x14ac:dyDescent="0.25">
      <c r="A16" s="41"/>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ColWidth="11.42578125" defaultRowHeight="13.5" x14ac:dyDescent="0.25"/>
  <cols>
    <col min="2" max="2" width="51.85546875" customWidth="1"/>
    <col min="3" max="3" width="35" customWidth="1"/>
  </cols>
  <sheetData>
    <row r="3" spans="2:3" ht="27.75" customHeight="1" x14ac:dyDescent="0.25">
      <c r="B3" s="25" t="s">
        <v>30</v>
      </c>
      <c r="C3" s="27">
        <v>0</v>
      </c>
    </row>
    <row r="4" spans="2:3" ht="18.75" thickBot="1" x14ac:dyDescent="0.3">
      <c r="B4" s="26" t="s">
        <v>31</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32</v>
      </c>
      <c r="B1" s="7">
        <v>1</v>
      </c>
      <c r="C1" s="17"/>
      <c r="D1" s="85"/>
    </row>
    <row r="2" spans="1:4" ht="27.75" thickBot="1" x14ac:dyDescent="0.3">
      <c r="A2" s="8" t="s">
        <v>33</v>
      </c>
      <c r="B2" s="18" t="s">
        <v>34</v>
      </c>
      <c r="C2" s="8" t="s">
        <v>35</v>
      </c>
      <c r="D2" s="8" t="s">
        <v>36</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37</v>
      </c>
      <c r="B13" s="12">
        <f>SUM(B3:B12)</f>
        <v>0</v>
      </c>
      <c r="C13" s="13"/>
      <c r="D13" s="13"/>
    </row>
    <row r="14" spans="1:4" ht="14.25"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4.25"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41742-9B26-4799-8DCB-4DBB43EAA9D9}">
  <sheetPr codeName="Feuil5"/>
  <dimension ref="A1:H113"/>
  <sheetViews>
    <sheetView topLeftCell="A82" workbookViewId="0">
      <selection activeCell="C104" sqref="C104"/>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32</v>
      </c>
      <c r="B1" s="7">
        <v>1</v>
      </c>
      <c r="C1" s="17"/>
      <c r="D1" s="85"/>
    </row>
    <row r="2" spans="1:4" ht="27.75" thickBot="1" x14ac:dyDescent="0.3">
      <c r="A2" s="8" t="s">
        <v>33</v>
      </c>
      <c r="B2" s="18" t="s">
        <v>34</v>
      </c>
      <c r="C2" s="8" t="s">
        <v>35</v>
      </c>
      <c r="D2" s="8" t="s">
        <v>36</v>
      </c>
    </row>
    <row r="3" spans="1:4" s="52" customFormat="1" x14ac:dyDescent="0.25">
      <c r="A3" s="5" t="s">
        <v>19</v>
      </c>
      <c r="B3" s="4">
        <v>1</v>
      </c>
      <c r="C3" s="89" t="s">
        <v>38</v>
      </c>
      <c r="D3" s="9"/>
    </row>
    <row r="4" spans="1:4" s="52" customFormat="1" x14ac:dyDescent="0.25">
      <c r="A4" s="1" t="s">
        <v>20</v>
      </c>
      <c r="B4" s="2">
        <v>2</v>
      </c>
      <c r="C4" s="90" t="s">
        <v>39</v>
      </c>
      <c r="D4" s="10"/>
    </row>
    <row r="5" spans="1:4" s="52" customFormat="1" x14ac:dyDescent="0.25">
      <c r="A5" s="1" t="s">
        <v>24</v>
      </c>
      <c r="B5" s="2">
        <v>1</v>
      </c>
      <c r="C5" s="90" t="s">
        <v>40</v>
      </c>
      <c r="D5" s="10"/>
    </row>
    <row r="6" spans="1:4" s="52" customFormat="1" x14ac:dyDescent="0.25">
      <c r="A6" s="1" t="s">
        <v>21</v>
      </c>
      <c r="B6" s="2">
        <v>5</v>
      </c>
      <c r="C6" s="90" t="s">
        <v>41</v>
      </c>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37</v>
      </c>
      <c r="B13" s="12">
        <f>SUM(B3:B12)</f>
        <v>9</v>
      </c>
      <c r="C13" s="86" t="s">
        <v>42</v>
      </c>
      <c r="D13" s="13"/>
    </row>
    <row r="14" spans="1:4" ht="15" thickBot="1" x14ac:dyDescent="0.35">
      <c r="A14" s="14"/>
      <c r="B14" s="14"/>
      <c r="C14" s="14"/>
      <c r="D14" s="14"/>
    </row>
    <row r="15" spans="1:4" ht="18.75" thickBot="1" x14ac:dyDescent="0.3">
      <c r="A15" s="6" t="s">
        <v>32</v>
      </c>
      <c r="B15" s="7">
        <v>2</v>
      </c>
      <c r="C15" s="17"/>
      <c r="D15" s="85"/>
    </row>
    <row r="16" spans="1:4" ht="27.75" thickBot="1" x14ac:dyDescent="0.3">
      <c r="A16" s="8" t="s">
        <v>33</v>
      </c>
      <c r="B16" s="18" t="s">
        <v>34</v>
      </c>
      <c r="C16" s="8" t="s">
        <v>35</v>
      </c>
      <c r="D16" s="8" t="s">
        <v>36</v>
      </c>
    </row>
    <row r="17" spans="1:8" x14ac:dyDescent="0.25">
      <c r="A17" s="91" t="s">
        <v>27</v>
      </c>
      <c r="B17" s="4">
        <v>3</v>
      </c>
      <c r="C17" s="89" t="s">
        <v>43</v>
      </c>
      <c r="D17" s="9"/>
    </row>
    <row r="18" spans="1:8" ht="27" x14ac:dyDescent="0.25">
      <c r="A18" s="1" t="s">
        <v>22</v>
      </c>
      <c r="B18" s="2">
        <v>3</v>
      </c>
      <c r="C18" s="90" t="s">
        <v>44</v>
      </c>
      <c r="D18" s="10"/>
    </row>
    <row r="19" spans="1:8" x14ac:dyDescent="0.25">
      <c r="A19" s="1" t="s">
        <v>23</v>
      </c>
      <c r="B19" s="2">
        <v>3</v>
      </c>
      <c r="C19" s="90" t="s">
        <v>45</v>
      </c>
      <c r="D19" s="10"/>
    </row>
    <row r="20" spans="1:8" ht="12.75" customHeight="1" x14ac:dyDescent="0.25">
      <c r="A20" s="1"/>
      <c r="B20" s="2"/>
      <c r="C20" s="10"/>
      <c r="D20" s="10"/>
      <c r="F20" s="31"/>
      <c r="G20" s="32"/>
      <c r="H20" s="33"/>
    </row>
    <row r="21" spans="1:8" ht="15" x14ac:dyDescent="0.25">
      <c r="A21" s="1"/>
      <c r="B21" s="2"/>
      <c r="C21" s="10"/>
      <c r="D21" s="10"/>
      <c r="F21" s="34"/>
      <c r="G21" s="30"/>
      <c r="H21" s="30"/>
    </row>
    <row r="22" spans="1:8" x14ac:dyDescent="0.25">
      <c r="A22" s="1"/>
      <c r="B22" s="2"/>
      <c r="C22" s="10"/>
      <c r="D22" s="10"/>
      <c r="F22" s="36"/>
      <c r="G22" s="37"/>
      <c r="H22" s="37"/>
    </row>
    <row r="23" spans="1:8" x14ac:dyDescent="0.25">
      <c r="A23" s="2"/>
      <c r="B23" s="2"/>
      <c r="C23" s="10"/>
      <c r="D23" s="10"/>
      <c r="F23" s="36"/>
      <c r="G23" s="37"/>
      <c r="H23" s="37"/>
    </row>
    <row r="24" spans="1:8" x14ac:dyDescent="0.25">
      <c r="A24" s="2"/>
      <c r="B24" s="2"/>
      <c r="C24" s="10"/>
      <c r="D24" s="10"/>
      <c r="F24" s="36"/>
      <c r="G24" s="37"/>
      <c r="H24" s="37"/>
    </row>
    <row r="25" spans="1:8" x14ac:dyDescent="0.25">
      <c r="A25" s="2"/>
      <c r="B25" s="2"/>
      <c r="C25" s="10"/>
      <c r="D25" s="10"/>
      <c r="F25" s="36"/>
      <c r="G25" s="37"/>
      <c r="H25" s="37"/>
    </row>
    <row r="26" spans="1:8" ht="14.25" thickBot="1" x14ac:dyDescent="0.3">
      <c r="A26" s="3"/>
      <c r="B26" s="3"/>
      <c r="C26" s="11"/>
      <c r="D26" s="11"/>
      <c r="F26" s="36"/>
      <c r="G26" s="37"/>
      <c r="H26" s="37"/>
    </row>
    <row r="27" spans="1:8" ht="14.25" thickBot="1" x14ac:dyDescent="0.3">
      <c r="A27" s="12" t="s">
        <v>37</v>
      </c>
      <c r="B27" s="12">
        <f>SUM(B17:B26)</f>
        <v>9</v>
      </c>
      <c r="C27" s="86" t="s">
        <v>42</v>
      </c>
      <c r="D27" s="13"/>
      <c r="F27" s="36"/>
      <c r="G27" s="37"/>
      <c r="H27" s="37"/>
    </row>
    <row r="28" spans="1:8" ht="15" thickBot="1" x14ac:dyDescent="0.35">
      <c r="A28" s="14"/>
      <c r="B28" s="14"/>
      <c r="C28" s="14"/>
      <c r="D28" s="14"/>
      <c r="F28" s="36"/>
      <c r="G28" s="37"/>
      <c r="H28" s="37"/>
    </row>
    <row r="29" spans="1:8" ht="18.75" thickBot="1" x14ac:dyDescent="0.3">
      <c r="A29" s="6" t="s">
        <v>32</v>
      </c>
      <c r="B29" s="7">
        <v>3</v>
      </c>
      <c r="C29" s="17"/>
      <c r="D29" s="85"/>
      <c r="F29" s="36"/>
      <c r="G29" s="37"/>
      <c r="H29" s="37"/>
    </row>
    <row r="30" spans="1:8" ht="27.75" thickBot="1" x14ac:dyDescent="0.3">
      <c r="A30" s="8" t="s">
        <v>33</v>
      </c>
      <c r="B30" s="18" t="s">
        <v>34</v>
      </c>
      <c r="C30" s="8" t="s">
        <v>35</v>
      </c>
      <c r="D30" s="8" t="s">
        <v>36</v>
      </c>
      <c r="F30" s="38"/>
      <c r="G30" s="39"/>
      <c r="H30" s="39"/>
    </row>
    <row r="31" spans="1:8" ht="27" x14ac:dyDescent="0.3">
      <c r="A31" s="5" t="s">
        <v>73</v>
      </c>
      <c r="B31" s="4">
        <v>4</v>
      </c>
      <c r="C31" s="89" t="s">
        <v>74</v>
      </c>
      <c r="D31" s="9"/>
      <c r="F31" s="40"/>
      <c r="G31" s="40"/>
      <c r="H31" s="40"/>
    </row>
    <row r="32" spans="1:8" x14ac:dyDescent="0.25">
      <c r="A32" s="1" t="s">
        <v>22</v>
      </c>
      <c r="B32" s="2">
        <v>2</v>
      </c>
      <c r="C32" s="10" t="s">
        <v>75</v>
      </c>
      <c r="D32" s="10"/>
    </row>
    <row r="33" spans="1:4" x14ac:dyDescent="0.25">
      <c r="A33" s="1" t="s">
        <v>18</v>
      </c>
      <c r="B33" s="2">
        <v>2</v>
      </c>
      <c r="C33" s="10" t="s">
        <v>76</v>
      </c>
      <c r="D33" s="10"/>
    </row>
    <row r="34" spans="1:4" x14ac:dyDescent="0.25">
      <c r="A34" s="1" t="s">
        <v>17</v>
      </c>
      <c r="B34" s="2">
        <v>1</v>
      </c>
      <c r="C34" s="10" t="s">
        <v>77</v>
      </c>
      <c r="D34" s="10"/>
    </row>
    <row r="35" spans="1:4" x14ac:dyDescent="0.25">
      <c r="A35" s="1"/>
      <c r="B35" s="2"/>
      <c r="C35" s="10"/>
      <c r="D35" s="10"/>
    </row>
    <row r="36" spans="1:4" x14ac:dyDescent="0.25">
      <c r="A36" s="1"/>
      <c r="B36" s="2"/>
      <c r="C36" s="10"/>
      <c r="D36" s="10"/>
    </row>
    <row r="37" spans="1:4" x14ac:dyDescent="0.25">
      <c r="A37" s="2"/>
      <c r="B37" s="2"/>
      <c r="C37" s="10"/>
      <c r="D37" s="10"/>
    </row>
    <row r="38" spans="1:4" x14ac:dyDescent="0.25">
      <c r="A38" s="2"/>
      <c r="B38" s="2"/>
      <c r="C38" s="10"/>
      <c r="D38" s="10"/>
    </row>
    <row r="39" spans="1:4" x14ac:dyDescent="0.25">
      <c r="A39" s="2"/>
      <c r="B39" s="2"/>
      <c r="C39" s="10"/>
      <c r="D39" s="10"/>
    </row>
    <row r="40" spans="1:4" ht="14.25" thickBot="1" x14ac:dyDescent="0.3">
      <c r="A40" s="3"/>
      <c r="B40" s="3"/>
      <c r="C40" s="11"/>
      <c r="D40" s="11"/>
    </row>
    <row r="41" spans="1:4" ht="14.25" thickBot="1" x14ac:dyDescent="0.3">
      <c r="A41" s="12" t="s">
        <v>37</v>
      </c>
      <c r="B41" s="12">
        <f>SUM(B31:B40)</f>
        <v>9</v>
      </c>
      <c r="C41" s="86" t="s">
        <v>42</v>
      </c>
      <c r="D41" s="13"/>
    </row>
    <row r="42" spans="1:4" ht="15" thickBot="1" x14ac:dyDescent="0.35">
      <c r="A42" s="14"/>
      <c r="B42" s="14"/>
      <c r="C42" s="14"/>
      <c r="D42" s="14"/>
    </row>
    <row r="43" spans="1:4" ht="18.75" thickBot="1" x14ac:dyDescent="0.3">
      <c r="A43" s="6" t="s">
        <v>32</v>
      </c>
      <c r="B43" s="7">
        <v>4</v>
      </c>
      <c r="C43" s="17"/>
      <c r="D43" s="85"/>
    </row>
    <row r="44" spans="1:4" ht="27.75" thickBot="1" x14ac:dyDescent="0.3">
      <c r="A44" s="8" t="s">
        <v>33</v>
      </c>
      <c r="B44" s="18" t="s">
        <v>34</v>
      </c>
      <c r="C44" s="8" t="s">
        <v>35</v>
      </c>
      <c r="D44" s="8" t="s">
        <v>36</v>
      </c>
    </row>
    <row r="45" spans="1:4" ht="27" x14ac:dyDescent="0.25">
      <c r="A45" s="5" t="s">
        <v>22</v>
      </c>
      <c r="B45" s="4">
        <v>4</v>
      </c>
      <c r="C45" s="9" t="s">
        <v>78</v>
      </c>
      <c r="D45" s="9"/>
    </row>
    <row r="46" spans="1:4" x14ac:dyDescent="0.25">
      <c r="A46" s="1" t="s">
        <v>25</v>
      </c>
      <c r="B46" s="2">
        <v>2</v>
      </c>
      <c r="C46" s="10" t="s">
        <v>79</v>
      </c>
      <c r="D46" s="10"/>
    </row>
    <row r="47" spans="1:4" x14ac:dyDescent="0.25">
      <c r="A47" s="1" t="s">
        <v>80</v>
      </c>
      <c r="B47" s="2">
        <v>2</v>
      </c>
      <c r="C47" s="10" t="s">
        <v>81</v>
      </c>
      <c r="D47" s="10"/>
    </row>
    <row r="48" spans="1:4" x14ac:dyDescent="0.25">
      <c r="A48" s="1" t="s">
        <v>17</v>
      </c>
      <c r="B48" s="2">
        <v>1</v>
      </c>
      <c r="C48" s="10" t="s">
        <v>82</v>
      </c>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c r="B54" s="3"/>
      <c r="C54" s="11"/>
      <c r="D54" s="11"/>
    </row>
    <row r="55" spans="1:4" ht="14.25" thickBot="1" x14ac:dyDescent="0.3">
      <c r="A55" s="12" t="s">
        <v>37</v>
      </c>
      <c r="B55" s="12">
        <f>SUM(B45:B54)</f>
        <v>9</v>
      </c>
      <c r="C55" s="86" t="s">
        <v>42</v>
      </c>
      <c r="D55" s="13"/>
    </row>
    <row r="56" spans="1:4" ht="15" thickBot="1" x14ac:dyDescent="0.35">
      <c r="A56" s="14"/>
      <c r="B56" s="14"/>
      <c r="C56" s="14"/>
      <c r="D56" s="14"/>
    </row>
    <row r="57" spans="1:4" ht="18.75" thickBot="1" x14ac:dyDescent="0.3">
      <c r="A57" s="6" t="s">
        <v>32</v>
      </c>
      <c r="B57" s="7">
        <v>5</v>
      </c>
      <c r="C57" s="17"/>
      <c r="D57" s="85"/>
    </row>
    <row r="58" spans="1:4" ht="27.75" thickBot="1" x14ac:dyDescent="0.3">
      <c r="A58" s="8" t="s">
        <v>33</v>
      </c>
      <c r="B58" s="18" t="s">
        <v>34</v>
      </c>
      <c r="C58" s="8" t="s">
        <v>35</v>
      </c>
      <c r="D58" s="8" t="s">
        <v>36</v>
      </c>
    </row>
    <row r="59" spans="1:4" x14ac:dyDescent="0.25">
      <c r="A59" s="5" t="s">
        <v>83</v>
      </c>
      <c r="B59" s="4">
        <v>4</v>
      </c>
      <c r="C59" s="9" t="s">
        <v>84</v>
      </c>
      <c r="D59" s="9"/>
    </row>
    <row r="60" spans="1:4" x14ac:dyDescent="0.25">
      <c r="A60" s="1" t="s">
        <v>85</v>
      </c>
      <c r="B60" s="2">
        <v>2</v>
      </c>
      <c r="C60" s="10" t="s">
        <v>86</v>
      </c>
      <c r="D60" s="10"/>
    </row>
    <row r="61" spans="1:4" x14ac:dyDescent="0.25">
      <c r="A61" s="1" t="s">
        <v>17</v>
      </c>
      <c r="B61" s="2">
        <v>1</v>
      </c>
      <c r="C61" s="10" t="s">
        <v>87</v>
      </c>
      <c r="D61" s="10"/>
    </row>
    <row r="62" spans="1:4" x14ac:dyDescent="0.25">
      <c r="A62" s="1" t="s">
        <v>18</v>
      </c>
      <c r="B62" s="2">
        <v>2</v>
      </c>
      <c r="C62" s="10" t="s">
        <v>88</v>
      </c>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c r="B68" s="3"/>
      <c r="C68" s="11"/>
      <c r="D68" s="11"/>
    </row>
    <row r="69" spans="1:4" ht="14.25" thickBot="1" x14ac:dyDescent="0.3">
      <c r="A69" s="12" t="s">
        <v>37</v>
      </c>
      <c r="B69" s="12">
        <f>SUM(B59:B68)</f>
        <v>9</v>
      </c>
      <c r="C69" s="86" t="s">
        <v>42</v>
      </c>
      <c r="D69" s="13"/>
    </row>
    <row r="70" spans="1:4" ht="15" thickBot="1" x14ac:dyDescent="0.35">
      <c r="A70" s="14"/>
      <c r="B70" s="14"/>
      <c r="C70" s="14"/>
      <c r="D70" s="14"/>
    </row>
    <row r="71" spans="1:4" ht="18.75" thickBot="1" x14ac:dyDescent="0.3">
      <c r="A71" s="6" t="s">
        <v>32</v>
      </c>
      <c r="B71" s="7">
        <v>6</v>
      </c>
      <c r="C71" s="17"/>
      <c r="D71" s="85"/>
    </row>
    <row r="72" spans="1:4" ht="27.75" thickBot="1" x14ac:dyDescent="0.3">
      <c r="A72" s="8" t="s">
        <v>33</v>
      </c>
      <c r="B72" s="18" t="s">
        <v>34</v>
      </c>
      <c r="C72" s="8" t="s">
        <v>35</v>
      </c>
      <c r="D72" s="8" t="s">
        <v>36</v>
      </c>
    </row>
    <row r="73" spans="1:4" x14ac:dyDescent="0.25">
      <c r="A73" s="5" t="s">
        <v>16</v>
      </c>
      <c r="B73" s="4">
        <v>9</v>
      </c>
      <c r="C73" s="96" t="s">
        <v>131</v>
      </c>
      <c r="D73" s="9"/>
    </row>
    <row r="74" spans="1:4" x14ac:dyDescent="0.25">
      <c r="A74" s="1"/>
      <c r="B74" s="2"/>
      <c r="C74" s="10"/>
      <c r="D74" s="10"/>
    </row>
    <row r="75" spans="1:4" x14ac:dyDescent="0.25">
      <c r="A75" s="1"/>
      <c r="B75" s="2"/>
      <c r="C75" s="10"/>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c r="B82" s="3"/>
      <c r="C82" s="11"/>
      <c r="D82" s="11"/>
    </row>
    <row r="83" spans="1:4" ht="14.25" thickBot="1" x14ac:dyDescent="0.3">
      <c r="A83" s="12" t="s">
        <v>37</v>
      </c>
      <c r="B83" s="12">
        <f>SUM(B73:B82)</f>
        <v>9</v>
      </c>
      <c r="C83" s="86" t="s">
        <v>42</v>
      </c>
      <c r="D83" s="13"/>
    </row>
    <row r="84" spans="1:4" ht="15" thickBot="1" x14ac:dyDescent="0.35">
      <c r="A84" s="14"/>
      <c r="B84" s="14"/>
      <c r="C84" s="14"/>
      <c r="D84" s="14"/>
    </row>
    <row r="85" spans="1:4" ht="18.75" thickBot="1" x14ac:dyDescent="0.3">
      <c r="A85" s="6" t="s">
        <v>32</v>
      </c>
      <c r="B85" s="7">
        <v>7</v>
      </c>
      <c r="C85" s="17"/>
      <c r="D85" s="85"/>
    </row>
    <row r="86" spans="1:4" ht="27.75" thickBot="1" x14ac:dyDescent="0.3">
      <c r="A86" s="8" t="s">
        <v>33</v>
      </c>
      <c r="B86" s="18" t="s">
        <v>34</v>
      </c>
      <c r="C86" s="8" t="s">
        <v>35</v>
      </c>
      <c r="D86" s="8" t="s">
        <v>36</v>
      </c>
    </row>
    <row r="87" spans="1:4" ht="27" x14ac:dyDescent="0.25">
      <c r="A87" s="5" t="s">
        <v>124</v>
      </c>
      <c r="B87" s="4">
        <v>3</v>
      </c>
      <c r="C87" s="96" t="s">
        <v>132</v>
      </c>
      <c r="D87" s="9"/>
    </row>
    <row r="88" spans="1:4" ht="27" x14ac:dyDescent="0.25">
      <c r="A88" s="1" t="s">
        <v>114</v>
      </c>
      <c r="B88" s="2">
        <v>4</v>
      </c>
      <c r="C88" s="97" t="s">
        <v>133</v>
      </c>
      <c r="D88" s="10"/>
    </row>
    <row r="89" spans="1:4" ht="27" x14ac:dyDescent="0.25">
      <c r="A89" s="1" t="s">
        <v>110</v>
      </c>
      <c r="B89" s="2">
        <v>2</v>
      </c>
      <c r="C89" s="97" t="s">
        <v>134</v>
      </c>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c r="B96" s="3"/>
      <c r="C96" s="11"/>
      <c r="D96" s="11"/>
    </row>
    <row r="97" spans="1:4" ht="14.25" thickBot="1" x14ac:dyDescent="0.3">
      <c r="A97" s="12" t="s">
        <v>37</v>
      </c>
      <c r="B97" s="12">
        <f>SUM(B87:B96)</f>
        <v>9</v>
      </c>
      <c r="C97" s="86" t="s">
        <v>42</v>
      </c>
      <c r="D97" s="13"/>
    </row>
    <row r="98" spans="1:4" ht="15" thickBot="1" x14ac:dyDescent="0.35">
      <c r="A98" s="14"/>
      <c r="B98" s="14"/>
      <c r="C98" s="14"/>
      <c r="D98" s="14"/>
    </row>
    <row r="99" spans="1:4" ht="18.75" thickBot="1" x14ac:dyDescent="0.3">
      <c r="A99" s="6" t="s">
        <v>32</v>
      </c>
      <c r="B99" s="7">
        <v>8</v>
      </c>
      <c r="C99" s="17"/>
      <c r="D99" s="85"/>
    </row>
    <row r="100" spans="1:4" ht="27.75" thickBot="1" x14ac:dyDescent="0.3">
      <c r="A100" s="8" t="s">
        <v>33</v>
      </c>
      <c r="B100" s="18" t="s">
        <v>34</v>
      </c>
      <c r="C100" s="8" t="s">
        <v>35</v>
      </c>
      <c r="D100" s="8" t="s">
        <v>36</v>
      </c>
    </row>
    <row r="101" spans="1:4" x14ac:dyDescent="0.25">
      <c r="A101" s="5" t="s">
        <v>18</v>
      </c>
      <c r="B101" s="4">
        <v>3</v>
      </c>
      <c r="C101" s="96" t="s">
        <v>136</v>
      </c>
      <c r="D101" s="9"/>
    </row>
    <row r="102" spans="1:4" ht="27" x14ac:dyDescent="0.25">
      <c r="A102" s="1" t="s">
        <v>110</v>
      </c>
      <c r="B102" s="2">
        <v>2</v>
      </c>
      <c r="C102" s="97" t="s">
        <v>110</v>
      </c>
      <c r="D102" s="10"/>
    </row>
    <row r="103" spans="1:4" x14ac:dyDescent="0.25">
      <c r="A103" s="92" t="s">
        <v>137</v>
      </c>
      <c r="B103" s="2">
        <v>4</v>
      </c>
      <c r="C103" s="97" t="s">
        <v>138</v>
      </c>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c r="B110" s="3"/>
      <c r="C110" s="11"/>
      <c r="D110" s="11"/>
    </row>
    <row r="111" spans="1:4" ht="14.25" thickBot="1" x14ac:dyDescent="0.3">
      <c r="A111" s="12" t="s">
        <v>37</v>
      </c>
      <c r="B111" s="12">
        <f>SUM(B101:B110)</f>
        <v>9</v>
      </c>
      <c r="C111" s="86" t="s">
        <v>42</v>
      </c>
      <c r="D111" s="13"/>
    </row>
    <row r="112" spans="1:4" ht="14.25" x14ac:dyDescent="0.3">
      <c r="A112" s="14"/>
      <c r="B112" s="14"/>
      <c r="C112" s="14"/>
      <c r="D112" s="14"/>
    </row>
    <row r="113" spans="1:1" x14ac:dyDescent="0.25">
      <c r="A113" s="87" t="s">
        <v>46</v>
      </c>
    </row>
  </sheetData>
  <sheetProtection sheet="1" objects="1" scenarios="1" insertRows="0" selectLockedCells="1"/>
  <dataValidations count="4">
    <dataValidation type="list" allowBlank="1" showInputMessage="1" showErrorMessage="1" sqref="A3:A12 A17:A26 A31:A40 A45:A54 A59:A68 A73:A82 A87:A96 A101:A110" xr:uid="{2170E349-3573-4163-83FD-DFADB74C18F1}">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8F8A0443-27FB-4650-AB4F-6301ABA44559}">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xr:uid="{CBD2C7FA-32B6-4D01-8EEB-76F6028484DA}">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DA1C98C6-7DF5-4426-B220-540E38F76149}">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9937"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9937"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32</v>
      </c>
      <c r="B1" s="43">
        <v>1</v>
      </c>
      <c r="C1" s="44" t="s">
        <v>47</v>
      </c>
      <c r="D1" s="53"/>
    </row>
    <row r="2" spans="1:4" ht="27.75" thickBot="1" x14ac:dyDescent="0.3">
      <c r="A2" s="45" t="s">
        <v>33</v>
      </c>
      <c r="B2" s="46" t="s">
        <v>34</v>
      </c>
      <c r="C2" s="45" t="s">
        <v>35</v>
      </c>
      <c r="D2" s="45" t="s">
        <v>36</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37</v>
      </c>
      <c r="B18" s="47">
        <f>SUM(B3:B17)</f>
        <v>0</v>
      </c>
      <c r="C18" s="48"/>
      <c r="D18" s="48"/>
    </row>
    <row r="19" spans="1:8" ht="14.25"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4.25" x14ac:dyDescent="0.3">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7454AA-693C-4A7E-BF00-9AF12E9EBED1}">
  <sheetPr codeName="Feuil9"/>
  <dimension ref="A1:H153"/>
  <sheetViews>
    <sheetView tabSelected="1" topLeftCell="A133" zoomScaleNormal="100" workbookViewId="0">
      <selection activeCell="C147" sqref="C147"/>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32</v>
      </c>
      <c r="B1" s="43">
        <v>1</v>
      </c>
      <c r="C1" s="44" t="s">
        <v>47</v>
      </c>
      <c r="D1" s="53">
        <f>Donnees!$C$9</f>
        <v>45304</v>
      </c>
    </row>
    <row r="2" spans="1:4" ht="27.75" thickBot="1" x14ac:dyDescent="0.3">
      <c r="A2" s="45" t="s">
        <v>33</v>
      </c>
      <c r="B2" s="46" t="s">
        <v>34</v>
      </c>
      <c r="C2" s="45" t="s">
        <v>35</v>
      </c>
      <c r="D2" s="45" t="s">
        <v>36</v>
      </c>
    </row>
    <row r="3" spans="1:4" s="52" customFormat="1" x14ac:dyDescent="0.25">
      <c r="A3" s="5" t="s">
        <v>19</v>
      </c>
      <c r="B3" s="4">
        <v>1</v>
      </c>
      <c r="C3" s="89" t="s">
        <v>48</v>
      </c>
      <c r="D3" s="9"/>
    </row>
    <row r="4" spans="1:4" s="52" customFormat="1" ht="54" x14ac:dyDescent="0.25">
      <c r="A4" s="1" t="s">
        <v>89</v>
      </c>
      <c r="B4" s="2">
        <v>2</v>
      </c>
      <c r="C4" s="90" t="s">
        <v>98</v>
      </c>
      <c r="D4" s="98" t="s">
        <v>90</v>
      </c>
    </row>
    <row r="5" spans="1:4" s="52" customFormat="1" x14ac:dyDescent="0.25">
      <c r="A5" s="1" t="s">
        <v>20</v>
      </c>
      <c r="B5" s="2">
        <v>1</v>
      </c>
      <c r="C5" s="90" t="s">
        <v>99</v>
      </c>
      <c r="D5" s="10"/>
    </row>
    <row r="6" spans="1:4" s="52" customFormat="1" ht="54" x14ac:dyDescent="0.25">
      <c r="A6" s="92" t="s">
        <v>91</v>
      </c>
      <c r="B6" s="2">
        <v>1</v>
      </c>
      <c r="C6" s="90" t="s">
        <v>100</v>
      </c>
      <c r="D6" s="10"/>
    </row>
    <row r="7" spans="1:4" s="52" customFormat="1" x14ac:dyDescent="0.25">
      <c r="A7" s="1" t="s">
        <v>19</v>
      </c>
      <c r="B7" s="2">
        <v>1</v>
      </c>
      <c r="C7" s="90" t="s">
        <v>49</v>
      </c>
      <c r="D7" s="10"/>
    </row>
    <row r="8" spans="1:4" s="52" customFormat="1" ht="27" x14ac:dyDescent="0.25">
      <c r="A8" s="92" t="s">
        <v>92</v>
      </c>
      <c r="B8" s="2">
        <v>1</v>
      </c>
      <c r="C8" s="90" t="s">
        <v>101</v>
      </c>
      <c r="D8" s="10"/>
    </row>
    <row r="9" spans="1:4" s="52" customFormat="1" ht="27" x14ac:dyDescent="0.25">
      <c r="A9" s="92" t="s">
        <v>92</v>
      </c>
      <c r="B9" s="2">
        <v>2</v>
      </c>
      <c r="C9" s="90" t="s">
        <v>50</v>
      </c>
      <c r="D9" s="10"/>
    </row>
    <row r="10" spans="1:4" s="52" customFormat="1" ht="27" x14ac:dyDescent="0.25">
      <c r="A10" s="92" t="s">
        <v>94</v>
      </c>
      <c r="B10" s="2">
        <v>2</v>
      </c>
      <c r="C10" s="90" t="s">
        <v>51</v>
      </c>
      <c r="D10" s="10"/>
    </row>
    <row r="11" spans="1:4" s="52" customFormat="1" ht="40.5" x14ac:dyDescent="0.25">
      <c r="A11" s="92" t="s">
        <v>94</v>
      </c>
      <c r="B11" s="2">
        <v>2</v>
      </c>
      <c r="C11" s="90" t="s">
        <v>52</v>
      </c>
      <c r="D11" s="90" t="s">
        <v>53</v>
      </c>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37</v>
      </c>
      <c r="B18" s="47">
        <f>SUM(B3:B17)</f>
        <v>13</v>
      </c>
      <c r="C18" s="88" t="s">
        <v>42</v>
      </c>
      <c r="D18" s="48"/>
    </row>
    <row r="19" spans="1:8" ht="15" thickBot="1" x14ac:dyDescent="0.35">
      <c r="A19" s="49"/>
      <c r="B19" s="49"/>
      <c r="C19" s="49"/>
      <c r="D19" s="49"/>
    </row>
    <row r="20" spans="1:8" ht="18.75" thickBot="1" x14ac:dyDescent="0.3">
      <c r="A20" s="42" t="s">
        <v>32</v>
      </c>
      <c r="B20" s="43">
        <v>2</v>
      </c>
      <c r="C20" s="44" t="s">
        <v>47</v>
      </c>
      <c r="D20" s="53">
        <f>$D$1+7</f>
        <v>45311</v>
      </c>
    </row>
    <row r="21" spans="1:8" ht="27.75" thickBot="1" x14ac:dyDescent="0.3">
      <c r="A21" s="45" t="s">
        <v>33</v>
      </c>
      <c r="B21" s="46" t="s">
        <v>34</v>
      </c>
      <c r="C21" s="45" t="s">
        <v>35</v>
      </c>
      <c r="D21" s="45" t="s">
        <v>36</v>
      </c>
    </row>
    <row r="22" spans="1:8" x14ac:dyDescent="0.25">
      <c r="A22" s="91" t="s">
        <v>19</v>
      </c>
      <c r="B22" s="4">
        <v>1</v>
      </c>
      <c r="C22" s="89" t="s">
        <v>54</v>
      </c>
      <c r="D22" s="9"/>
    </row>
    <row r="23" spans="1:8" x14ac:dyDescent="0.25">
      <c r="A23" s="1" t="s">
        <v>19</v>
      </c>
      <c r="B23" s="2">
        <v>2</v>
      </c>
      <c r="C23" s="90" t="s">
        <v>55</v>
      </c>
      <c r="D23" s="10"/>
    </row>
    <row r="24" spans="1:8" ht="40.5" x14ac:dyDescent="0.25">
      <c r="A24" s="92" t="s">
        <v>95</v>
      </c>
      <c r="B24" s="2">
        <v>2</v>
      </c>
      <c r="C24" s="90" t="s">
        <v>102</v>
      </c>
      <c r="D24" s="90" t="s">
        <v>56</v>
      </c>
    </row>
    <row r="25" spans="1:8" ht="40.5" customHeight="1" x14ac:dyDescent="0.25">
      <c r="A25" s="92" t="s">
        <v>91</v>
      </c>
      <c r="B25" s="2">
        <v>2</v>
      </c>
      <c r="C25" s="93" t="s">
        <v>103</v>
      </c>
      <c r="D25" s="10"/>
      <c r="F25" s="31"/>
      <c r="G25" s="32"/>
      <c r="H25" s="33"/>
    </row>
    <row r="26" spans="1:8" ht="27" x14ac:dyDescent="0.25">
      <c r="A26" s="1" t="s">
        <v>95</v>
      </c>
      <c r="B26" s="2">
        <v>2</v>
      </c>
      <c r="C26" s="90" t="s">
        <v>97</v>
      </c>
      <c r="D26" s="10"/>
      <c r="F26" s="34"/>
      <c r="G26" s="30"/>
      <c r="H26" s="30"/>
    </row>
    <row r="27" spans="1:8" ht="27" x14ac:dyDescent="0.25">
      <c r="A27" s="92" t="s">
        <v>96</v>
      </c>
      <c r="B27" s="2">
        <v>3</v>
      </c>
      <c r="C27" s="90" t="s">
        <v>104</v>
      </c>
      <c r="D27" s="10"/>
      <c r="F27" s="36"/>
      <c r="G27" s="37"/>
      <c r="H27" s="37"/>
    </row>
    <row r="28" spans="1:8" ht="27" x14ac:dyDescent="0.25">
      <c r="A28" s="1" t="s">
        <v>95</v>
      </c>
      <c r="B28" s="2">
        <v>2</v>
      </c>
      <c r="C28" s="90" t="s">
        <v>105</v>
      </c>
      <c r="D28" s="94" t="s">
        <v>57</v>
      </c>
      <c r="F28" s="36"/>
      <c r="G28" s="37"/>
      <c r="H28" s="37"/>
    </row>
    <row r="29" spans="1:8" ht="27" x14ac:dyDescent="0.25">
      <c r="A29" s="92" t="s">
        <v>96</v>
      </c>
      <c r="B29" s="2">
        <v>1</v>
      </c>
      <c r="C29" s="90" t="s">
        <v>106</v>
      </c>
      <c r="D29" s="10"/>
      <c r="F29" s="36"/>
      <c r="G29" s="37"/>
      <c r="H29" s="37"/>
    </row>
    <row r="30" spans="1:8" x14ac:dyDescent="0.25">
      <c r="A30" s="1"/>
      <c r="B30" s="2"/>
      <c r="C30" s="10"/>
      <c r="D30" s="10"/>
      <c r="F30" s="36"/>
      <c r="G30" s="37"/>
      <c r="H30" s="37"/>
    </row>
    <row r="31" spans="1:8" x14ac:dyDescent="0.25">
      <c r="A31" s="2"/>
      <c r="B31" s="2"/>
      <c r="C31" s="10"/>
      <c r="D31" s="10"/>
      <c r="F31" s="36"/>
      <c r="G31" s="37"/>
      <c r="H31" s="37"/>
    </row>
    <row r="32" spans="1:8" x14ac:dyDescent="0.25">
      <c r="A32" s="2"/>
      <c r="B32" s="2"/>
      <c r="C32" s="10"/>
      <c r="D32" s="10"/>
      <c r="F32" s="36"/>
      <c r="G32" s="37"/>
      <c r="H32" s="37"/>
    </row>
    <row r="33" spans="1:8" x14ac:dyDescent="0.25">
      <c r="A33" s="2"/>
      <c r="B33" s="2"/>
      <c r="C33" s="10"/>
      <c r="D33" s="10"/>
      <c r="F33" s="36"/>
      <c r="G33" s="37"/>
      <c r="H33" s="37"/>
    </row>
    <row r="34" spans="1:8" x14ac:dyDescent="0.25">
      <c r="A34" s="50"/>
      <c r="B34" s="50"/>
      <c r="C34" s="51"/>
      <c r="D34" s="51"/>
      <c r="F34" s="36"/>
      <c r="G34" s="37"/>
      <c r="H34" s="37"/>
    </row>
    <row r="35" spans="1:8" x14ac:dyDescent="0.25">
      <c r="A35" s="50"/>
      <c r="B35" s="50"/>
      <c r="C35" s="51"/>
      <c r="D35" s="51"/>
      <c r="F35" s="38"/>
      <c r="G35" s="39"/>
      <c r="H35" s="39"/>
    </row>
    <row r="36" spans="1:8" ht="15" thickBot="1" x14ac:dyDescent="0.35">
      <c r="A36" s="3"/>
      <c r="B36" s="3"/>
      <c r="C36" s="11"/>
      <c r="D36" s="11"/>
      <c r="F36" s="40"/>
      <c r="G36" s="40"/>
      <c r="H36" s="40"/>
    </row>
    <row r="37" spans="1:8" ht="14.25" thickBot="1" x14ac:dyDescent="0.3">
      <c r="A37" s="47" t="s">
        <v>37</v>
      </c>
      <c r="B37" s="47">
        <f>SUM(B22:B36)</f>
        <v>15</v>
      </c>
      <c r="C37" s="88" t="s">
        <v>42</v>
      </c>
      <c r="D37" s="48"/>
    </row>
    <row r="38" spans="1:8" ht="15" thickBot="1" x14ac:dyDescent="0.35">
      <c r="A38" s="49"/>
      <c r="B38" s="49"/>
      <c r="C38" s="49"/>
      <c r="D38" s="49"/>
    </row>
    <row r="39" spans="1:8" ht="18.75" thickBot="1" x14ac:dyDescent="0.3">
      <c r="A39" s="42" t="s">
        <v>32</v>
      </c>
      <c r="B39" s="43">
        <v>3</v>
      </c>
      <c r="C39" s="44" t="s">
        <v>47</v>
      </c>
      <c r="D39" s="53">
        <f>$D$20+7</f>
        <v>45318</v>
      </c>
    </row>
    <row r="40" spans="1:8" ht="27.75" thickBot="1" x14ac:dyDescent="0.3">
      <c r="A40" s="45" t="s">
        <v>33</v>
      </c>
      <c r="B40" s="46" t="s">
        <v>34</v>
      </c>
      <c r="C40" s="45" t="s">
        <v>35</v>
      </c>
      <c r="D40" s="45" t="s">
        <v>36</v>
      </c>
    </row>
    <row r="41" spans="1:8" ht="40.5" x14ac:dyDescent="0.25">
      <c r="A41" s="5" t="s">
        <v>19</v>
      </c>
      <c r="B41" s="4">
        <v>3</v>
      </c>
      <c r="C41" s="9" t="s">
        <v>58</v>
      </c>
      <c r="D41" s="9" t="s">
        <v>59</v>
      </c>
    </row>
    <row r="42" spans="1:8" ht="27" x14ac:dyDescent="0.25">
      <c r="A42" s="92" t="s">
        <v>94</v>
      </c>
      <c r="B42" s="2">
        <v>2</v>
      </c>
      <c r="C42" s="97" t="s">
        <v>107</v>
      </c>
      <c r="D42" s="10" t="s">
        <v>60</v>
      </c>
    </row>
    <row r="43" spans="1:8" ht="54" x14ac:dyDescent="0.25">
      <c r="A43" s="92" t="s">
        <v>94</v>
      </c>
      <c r="B43" s="2">
        <v>5</v>
      </c>
      <c r="C43" s="97" t="s">
        <v>108</v>
      </c>
      <c r="D43" s="95" t="s">
        <v>61</v>
      </c>
    </row>
    <row r="44" spans="1:8" ht="54" x14ac:dyDescent="0.25">
      <c r="A44" s="100" t="s">
        <v>91</v>
      </c>
      <c r="B44" s="2">
        <v>3</v>
      </c>
      <c r="C44" s="97" t="s">
        <v>109</v>
      </c>
      <c r="D44" s="10" t="s">
        <v>62</v>
      </c>
    </row>
    <row r="45" spans="1:8" ht="27" x14ac:dyDescent="0.25">
      <c r="A45" s="1" t="s">
        <v>110</v>
      </c>
      <c r="B45" s="2">
        <v>1</v>
      </c>
      <c r="C45" s="97" t="s">
        <v>63</v>
      </c>
      <c r="D45" s="10"/>
    </row>
    <row r="46" spans="1:8" ht="40.5" x14ac:dyDescent="0.25">
      <c r="A46" s="1" t="s">
        <v>111</v>
      </c>
      <c r="B46" s="2">
        <v>2</v>
      </c>
      <c r="C46" s="97" t="s">
        <v>112</v>
      </c>
      <c r="D46" s="95" t="s">
        <v>64</v>
      </c>
    </row>
    <row r="47" spans="1:8" x14ac:dyDescent="0.25">
      <c r="A47" s="1"/>
      <c r="B47" s="2"/>
      <c r="C47" s="10"/>
      <c r="D47" s="10"/>
    </row>
    <row r="48" spans="1:8"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0"/>
      <c r="B53" s="50"/>
      <c r="C53" s="51"/>
      <c r="D53" s="51"/>
    </row>
    <row r="54" spans="1:4" x14ac:dyDescent="0.25">
      <c r="A54" s="50"/>
      <c r="B54" s="50"/>
      <c r="C54" s="51"/>
      <c r="D54" s="51"/>
    </row>
    <row r="55" spans="1:4" ht="14.25" thickBot="1" x14ac:dyDescent="0.3">
      <c r="A55" s="3"/>
      <c r="B55" s="3"/>
      <c r="C55" s="11"/>
      <c r="D55" s="11"/>
    </row>
    <row r="56" spans="1:4" ht="14.25" thickBot="1" x14ac:dyDescent="0.3">
      <c r="A56" s="47" t="s">
        <v>37</v>
      </c>
      <c r="B56" s="47">
        <f>SUM(B41:B55)</f>
        <v>16</v>
      </c>
      <c r="C56" s="88" t="s">
        <v>42</v>
      </c>
      <c r="D56" s="48"/>
    </row>
    <row r="57" spans="1:4" ht="15" thickBot="1" x14ac:dyDescent="0.35">
      <c r="A57" s="49"/>
      <c r="B57" s="49"/>
      <c r="C57" s="49"/>
      <c r="D57" s="49"/>
    </row>
    <row r="58" spans="1:4" ht="18.75" thickBot="1" x14ac:dyDescent="0.3">
      <c r="A58" s="42" t="s">
        <v>32</v>
      </c>
      <c r="B58" s="43">
        <v>4</v>
      </c>
      <c r="C58" s="44" t="s">
        <v>47</v>
      </c>
      <c r="D58" s="53">
        <f>$D$39+7</f>
        <v>45325</v>
      </c>
    </row>
    <row r="59" spans="1:4" ht="27.75" thickBot="1" x14ac:dyDescent="0.3">
      <c r="A59" s="45" t="s">
        <v>33</v>
      </c>
      <c r="B59" s="46" t="s">
        <v>34</v>
      </c>
      <c r="C59" s="45" t="s">
        <v>35</v>
      </c>
      <c r="D59" s="45" t="s">
        <v>36</v>
      </c>
    </row>
    <row r="60" spans="1:4" ht="40.5" x14ac:dyDescent="0.25">
      <c r="A60" s="91" t="s">
        <v>19</v>
      </c>
      <c r="B60" s="4">
        <v>2</v>
      </c>
      <c r="C60" s="96" t="s">
        <v>65</v>
      </c>
      <c r="D60" s="9"/>
    </row>
    <row r="61" spans="1:4" ht="54" x14ac:dyDescent="0.25">
      <c r="A61" s="92" t="s">
        <v>91</v>
      </c>
      <c r="B61" s="2">
        <v>2</v>
      </c>
      <c r="C61" s="97" t="s">
        <v>113</v>
      </c>
      <c r="D61" s="98" t="s">
        <v>66</v>
      </c>
    </row>
    <row r="62" spans="1:4" ht="40.5" x14ac:dyDescent="0.25">
      <c r="A62" s="92" t="s">
        <v>111</v>
      </c>
      <c r="B62" s="2">
        <v>7</v>
      </c>
      <c r="C62" s="97" t="s">
        <v>116</v>
      </c>
      <c r="D62" s="98" t="s">
        <v>68</v>
      </c>
    </row>
    <row r="63" spans="1:4" ht="74.25" customHeight="1" x14ac:dyDescent="0.25">
      <c r="A63" s="92" t="s">
        <v>114</v>
      </c>
      <c r="B63" s="2">
        <v>3</v>
      </c>
      <c r="C63" s="97" t="s">
        <v>115</v>
      </c>
      <c r="D63" s="10"/>
    </row>
    <row r="64" spans="1:4" ht="27" x14ac:dyDescent="0.25">
      <c r="A64" s="92" t="s">
        <v>110</v>
      </c>
      <c r="B64" s="2">
        <v>1</v>
      </c>
      <c r="C64" s="97" t="s">
        <v>67</v>
      </c>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0"/>
      <c r="B72" s="50"/>
      <c r="C72" s="51"/>
      <c r="D72" s="51"/>
    </row>
    <row r="73" spans="1:4" x14ac:dyDescent="0.25">
      <c r="A73" s="50"/>
      <c r="B73" s="50"/>
      <c r="C73" s="51"/>
      <c r="D73" s="51"/>
    </row>
    <row r="74" spans="1:4" ht="14.25" thickBot="1" x14ac:dyDescent="0.3">
      <c r="A74" s="3"/>
      <c r="B74" s="3"/>
      <c r="C74" s="11"/>
      <c r="D74" s="11"/>
    </row>
    <row r="75" spans="1:4" ht="14.25" thickBot="1" x14ac:dyDescent="0.3">
      <c r="A75" s="47" t="s">
        <v>37</v>
      </c>
      <c r="B75" s="47">
        <f>SUM(B60:B74)</f>
        <v>15</v>
      </c>
      <c r="C75" s="88" t="s">
        <v>42</v>
      </c>
      <c r="D75" s="48"/>
    </row>
    <row r="76" spans="1:4" ht="15" thickBot="1" x14ac:dyDescent="0.35">
      <c r="A76" s="49"/>
      <c r="B76" s="49"/>
      <c r="C76" s="49"/>
      <c r="D76" s="49"/>
    </row>
    <row r="77" spans="1:4" ht="18.75" thickBot="1" x14ac:dyDescent="0.3">
      <c r="A77" s="42" t="s">
        <v>32</v>
      </c>
      <c r="B77" s="43">
        <v>5</v>
      </c>
      <c r="C77" s="44" t="s">
        <v>47</v>
      </c>
      <c r="D77" s="53">
        <f>$D$58+7</f>
        <v>45332</v>
      </c>
    </row>
    <row r="78" spans="1:4" ht="27.75" thickBot="1" x14ac:dyDescent="0.3">
      <c r="A78" s="45" t="s">
        <v>33</v>
      </c>
      <c r="B78" s="46" t="s">
        <v>34</v>
      </c>
      <c r="C78" s="45" t="s">
        <v>35</v>
      </c>
      <c r="D78" s="45" t="s">
        <v>36</v>
      </c>
    </row>
    <row r="79" spans="1:4" ht="95.25" thickBot="1" x14ac:dyDescent="0.3">
      <c r="A79" s="91" t="s">
        <v>117</v>
      </c>
      <c r="B79" s="4">
        <v>1</v>
      </c>
      <c r="C79" s="96" t="s">
        <v>120</v>
      </c>
      <c r="D79" s="99" t="s">
        <v>69</v>
      </c>
    </row>
    <row r="80" spans="1:4" ht="27" x14ac:dyDescent="0.25">
      <c r="A80" s="91" t="s">
        <v>94</v>
      </c>
      <c r="B80" s="4">
        <v>1</v>
      </c>
      <c r="C80" s="96" t="s">
        <v>121</v>
      </c>
    </row>
    <row r="81" spans="1:4" ht="108" x14ac:dyDescent="0.25">
      <c r="A81" s="92" t="s">
        <v>118</v>
      </c>
      <c r="B81" s="2">
        <v>5</v>
      </c>
      <c r="C81" s="97" t="s">
        <v>122</v>
      </c>
      <c r="D81" s="98" t="s">
        <v>70</v>
      </c>
    </row>
    <row r="82" spans="1:4" ht="63.75" x14ac:dyDescent="0.25">
      <c r="A82" s="92" t="s">
        <v>95</v>
      </c>
      <c r="B82" s="2">
        <v>2</v>
      </c>
      <c r="C82" s="97" t="s">
        <v>123</v>
      </c>
      <c r="D82" s="98" t="s">
        <v>71</v>
      </c>
    </row>
    <row r="83" spans="1:4" ht="81" x14ac:dyDescent="0.25">
      <c r="A83" s="92" t="s">
        <v>124</v>
      </c>
      <c r="B83" s="2">
        <v>3</v>
      </c>
      <c r="C83" s="97" t="s">
        <v>125</v>
      </c>
      <c r="D83" s="98" t="s">
        <v>72</v>
      </c>
    </row>
    <row r="84" spans="1:4" ht="40.5" x14ac:dyDescent="0.25">
      <c r="A84" s="92" t="s">
        <v>95</v>
      </c>
      <c r="B84" s="2">
        <v>1</v>
      </c>
      <c r="C84" s="97" t="s">
        <v>126</v>
      </c>
      <c r="D84" s="10"/>
    </row>
    <row r="85" spans="1:4" ht="26.25" customHeight="1" x14ac:dyDescent="0.25">
      <c r="A85" s="1" t="s">
        <v>96</v>
      </c>
      <c r="B85" s="2">
        <v>2</v>
      </c>
      <c r="C85" s="97" t="s">
        <v>127</v>
      </c>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0"/>
      <c r="B91" s="50"/>
      <c r="C91" s="51"/>
      <c r="D91" s="51"/>
    </row>
    <row r="92" spans="1:4" x14ac:dyDescent="0.25">
      <c r="A92" s="50"/>
      <c r="B92" s="50"/>
      <c r="C92" s="51"/>
      <c r="D92" s="51"/>
    </row>
    <row r="93" spans="1:4" ht="14.25" thickBot="1" x14ac:dyDescent="0.3">
      <c r="A93" s="3"/>
      <c r="B93" s="3"/>
      <c r="C93" s="11"/>
      <c r="D93" s="11"/>
    </row>
    <row r="94" spans="1:4" ht="14.25" thickBot="1" x14ac:dyDescent="0.3">
      <c r="A94" s="47" t="s">
        <v>37</v>
      </c>
      <c r="B94" s="47">
        <f>SUM(B79:B93)</f>
        <v>15</v>
      </c>
      <c r="C94" s="88" t="s">
        <v>42</v>
      </c>
      <c r="D94" s="48"/>
    </row>
    <row r="95" spans="1:4" ht="15" thickBot="1" x14ac:dyDescent="0.35">
      <c r="A95" s="49"/>
      <c r="B95" s="49"/>
      <c r="C95" s="49"/>
      <c r="D95" s="49"/>
    </row>
    <row r="96" spans="1:4" ht="18.75" thickBot="1" x14ac:dyDescent="0.3">
      <c r="A96" s="42" t="s">
        <v>32</v>
      </c>
      <c r="B96" s="43">
        <v>6</v>
      </c>
      <c r="C96" s="44" t="s">
        <v>47</v>
      </c>
      <c r="D96" s="53">
        <f>$D$77+7</f>
        <v>45339</v>
      </c>
    </row>
    <row r="97" spans="1:4" ht="27.75" thickBot="1" x14ac:dyDescent="0.3">
      <c r="A97" s="45" t="s">
        <v>33</v>
      </c>
      <c r="B97" s="46" t="s">
        <v>34</v>
      </c>
      <c r="C97" s="45" t="s">
        <v>35</v>
      </c>
      <c r="D97" s="45" t="s">
        <v>36</v>
      </c>
    </row>
    <row r="98" spans="1:4" x14ac:dyDescent="0.25">
      <c r="A98" s="5" t="s">
        <v>16</v>
      </c>
      <c r="B98" s="4">
        <v>9</v>
      </c>
      <c r="C98" s="96" t="s">
        <v>119</v>
      </c>
      <c r="D98" s="9"/>
    </row>
    <row r="99" spans="1:4" x14ac:dyDescent="0.25">
      <c r="A99" s="1"/>
      <c r="B99" s="2"/>
      <c r="C99" s="10"/>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0"/>
      <c r="B110" s="50"/>
      <c r="C110" s="51"/>
      <c r="D110" s="51"/>
    </row>
    <row r="111" spans="1:4" x14ac:dyDescent="0.25">
      <c r="A111" s="50"/>
      <c r="B111" s="50"/>
      <c r="C111" s="51"/>
      <c r="D111" s="51"/>
    </row>
    <row r="112" spans="1:4" ht="14.25" thickBot="1" x14ac:dyDescent="0.3">
      <c r="A112" s="3"/>
      <c r="B112" s="3"/>
      <c r="C112" s="11"/>
      <c r="D112" s="11"/>
    </row>
    <row r="113" spans="1:4" ht="14.25" thickBot="1" x14ac:dyDescent="0.3">
      <c r="A113" s="47" t="s">
        <v>37</v>
      </c>
      <c r="B113" s="47">
        <f>SUM(B98:B112)</f>
        <v>9</v>
      </c>
      <c r="C113" s="88" t="s">
        <v>42</v>
      </c>
      <c r="D113" s="48"/>
    </row>
    <row r="114" spans="1:4" ht="15" thickBot="1" x14ac:dyDescent="0.35">
      <c r="A114" s="49"/>
      <c r="B114" s="49"/>
      <c r="C114" s="49"/>
      <c r="D114" s="49"/>
    </row>
    <row r="115" spans="1:4" ht="18.75" thickBot="1" x14ac:dyDescent="0.3">
      <c r="A115" s="42" t="s">
        <v>32</v>
      </c>
      <c r="B115" s="43">
        <v>7</v>
      </c>
      <c r="C115" s="44" t="s">
        <v>47</v>
      </c>
      <c r="D115" s="53">
        <f>$D$96+7</f>
        <v>45346</v>
      </c>
    </row>
    <row r="116" spans="1:4" ht="27.75" thickBot="1" x14ac:dyDescent="0.3">
      <c r="A116" s="45" t="s">
        <v>33</v>
      </c>
      <c r="B116" s="46" t="s">
        <v>34</v>
      </c>
      <c r="C116" s="45" t="s">
        <v>35</v>
      </c>
      <c r="D116" s="45" t="s">
        <v>36</v>
      </c>
    </row>
    <row r="117" spans="1:4" ht="67.5" x14ac:dyDescent="0.25">
      <c r="A117" s="5" t="s">
        <v>128</v>
      </c>
      <c r="B117" s="4">
        <v>1</v>
      </c>
      <c r="C117" s="96" t="s">
        <v>129</v>
      </c>
      <c r="D117" s="9"/>
    </row>
    <row r="118" spans="1:4" ht="27" x14ac:dyDescent="0.25">
      <c r="A118" s="1" t="s">
        <v>110</v>
      </c>
      <c r="B118" s="2">
        <v>2</v>
      </c>
      <c r="C118" s="97" t="s">
        <v>130</v>
      </c>
      <c r="D118" s="10"/>
    </row>
    <row r="119" spans="1:4" x14ac:dyDescent="0.25">
      <c r="A119" s="92" t="s">
        <v>20</v>
      </c>
      <c r="B119" s="2">
        <v>1</v>
      </c>
      <c r="C119" s="97" t="s">
        <v>135</v>
      </c>
      <c r="D119" s="10"/>
    </row>
    <row r="120" spans="1:4" ht="81" x14ac:dyDescent="0.25">
      <c r="A120" s="1" t="s">
        <v>92</v>
      </c>
      <c r="B120" s="2">
        <v>1</v>
      </c>
      <c r="C120" s="97" t="s">
        <v>139</v>
      </c>
      <c r="D120" s="97" t="s">
        <v>144</v>
      </c>
    </row>
    <row r="121" spans="1:4" ht="40.5" x14ac:dyDescent="0.25">
      <c r="A121" s="1" t="s">
        <v>117</v>
      </c>
      <c r="B121" s="2">
        <v>2</v>
      </c>
      <c r="C121" s="97" t="s">
        <v>141</v>
      </c>
      <c r="D121" s="98" t="s">
        <v>140</v>
      </c>
    </row>
    <row r="122" spans="1:4" ht="40.5" x14ac:dyDescent="0.25">
      <c r="A122" s="92" t="s">
        <v>142</v>
      </c>
      <c r="B122" s="2">
        <v>2</v>
      </c>
      <c r="C122" s="97" t="s">
        <v>147</v>
      </c>
      <c r="D122" s="98" t="s">
        <v>143</v>
      </c>
    </row>
    <row r="123" spans="1:4" ht="38.25" x14ac:dyDescent="0.25">
      <c r="A123" s="92" t="s">
        <v>145</v>
      </c>
      <c r="B123" s="2">
        <v>2</v>
      </c>
      <c r="C123" s="97" t="s">
        <v>146</v>
      </c>
      <c r="D123" s="98" t="s">
        <v>148</v>
      </c>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0"/>
      <c r="B129" s="50"/>
      <c r="C129" s="51"/>
      <c r="D129" s="51"/>
    </row>
    <row r="130" spans="1:4" x14ac:dyDescent="0.25">
      <c r="A130" s="50"/>
      <c r="B130" s="50"/>
      <c r="C130" s="51"/>
      <c r="D130" s="51"/>
    </row>
    <row r="131" spans="1:4" ht="14.25" thickBot="1" x14ac:dyDescent="0.3">
      <c r="A131" s="3"/>
      <c r="B131" s="3"/>
      <c r="C131" s="11"/>
      <c r="D131" s="11"/>
    </row>
    <row r="132" spans="1:4" ht="14.25" thickBot="1" x14ac:dyDescent="0.3">
      <c r="A132" s="47" t="s">
        <v>37</v>
      </c>
      <c r="B132" s="47">
        <f>SUM(B117:B131)</f>
        <v>11</v>
      </c>
      <c r="C132" s="88" t="s">
        <v>42</v>
      </c>
      <c r="D132" s="48"/>
    </row>
    <row r="133" spans="1:4" ht="15" thickBot="1" x14ac:dyDescent="0.35">
      <c r="A133" s="49"/>
      <c r="B133" s="49"/>
      <c r="C133" s="49"/>
      <c r="D133" s="49"/>
    </row>
    <row r="134" spans="1:4" ht="18.75" thickBot="1" x14ac:dyDescent="0.3">
      <c r="A134" s="42" t="s">
        <v>32</v>
      </c>
      <c r="B134" s="43">
        <v>8</v>
      </c>
      <c r="C134" s="44" t="s">
        <v>47</v>
      </c>
      <c r="D134" s="53">
        <f>$D$115+7</f>
        <v>45353</v>
      </c>
    </row>
    <row r="135" spans="1:4" ht="27.75" thickBot="1" x14ac:dyDescent="0.3">
      <c r="A135" s="45" t="s">
        <v>33</v>
      </c>
      <c r="B135" s="46" t="s">
        <v>34</v>
      </c>
      <c r="C135" s="45" t="s">
        <v>35</v>
      </c>
      <c r="D135" s="45" t="s">
        <v>36</v>
      </c>
    </row>
    <row r="136" spans="1:4" ht="27" x14ac:dyDescent="0.25">
      <c r="A136" s="5" t="s">
        <v>149</v>
      </c>
      <c r="B136" s="4">
        <v>1</v>
      </c>
      <c r="C136" s="96" t="s">
        <v>152</v>
      </c>
      <c r="D136" s="99" t="s">
        <v>150</v>
      </c>
    </row>
    <row r="137" spans="1:4" ht="27" x14ac:dyDescent="0.25">
      <c r="A137" s="1" t="s">
        <v>151</v>
      </c>
      <c r="B137" s="2">
        <v>1</v>
      </c>
      <c r="C137" s="97" t="s">
        <v>153</v>
      </c>
      <c r="D137" s="98" t="s">
        <v>154</v>
      </c>
    </row>
    <row r="138" spans="1:4" ht="63.75" x14ac:dyDescent="0.25">
      <c r="A138" s="1" t="s">
        <v>95</v>
      </c>
      <c r="B138" s="2">
        <v>1</v>
      </c>
      <c r="C138" s="97" t="s">
        <v>156</v>
      </c>
      <c r="D138" s="98" t="s">
        <v>155</v>
      </c>
    </row>
    <row r="139" spans="1:4" ht="27" x14ac:dyDescent="0.25">
      <c r="A139" s="1" t="s">
        <v>96</v>
      </c>
      <c r="B139" s="2">
        <v>1</v>
      </c>
      <c r="C139" s="97" t="s">
        <v>157</v>
      </c>
      <c r="D139" s="10"/>
    </row>
    <row r="140" spans="1:4" ht="40.5" x14ac:dyDescent="0.25">
      <c r="A140" s="1" t="s">
        <v>95</v>
      </c>
      <c r="B140" s="2">
        <v>1</v>
      </c>
      <c r="C140" s="97" t="s">
        <v>160</v>
      </c>
      <c r="D140" s="98" t="s">
        <v>158</v>
      </c>
    </row>
    <row r="141" spans="1:4" ht="27" x14ac:dyDescent="0.25">
      <c r="A141" s="1" t="s">
        <v>96</v>
      </c>
      <c r="B141" s="2">
        <v>1</v>
      </c>
      <c r="C141" s="97" t="s">
        <v>159</v>
      </c>
      <c r="D141" s="10"/>
    </row>
    <row r="142" spans="1:4" ht="40.5" x14ac:dyDescent="0.25">
      <c r="A142" s="1" t="s">
        <v>93</v>
      </c>
      <c r="B142" s="2">
        <v>1</v>
      </c>
      <c r="C142" s="97" t="s">
        <v>161</v>
      </c>
      <c r="D142" s="98" t="s">
        <v>162</v>
      </c>
    </row>
    <row r="143" spans="1:4" ht="40.5" x14ac:dyDescent="0.25">
      <c r="A143" s="1" t="s">
        <v>124</v>
      </c>
      <c r="B143" s="2">
        <v>1</v>
      </c>
      <c r="C143" s="97" t="s">
        <v>165</v>
      </c>
      <c r="D143" s="98" t="s">
        <v>163</v>
      </c>
    </row>
    <row r="144" spans="1:4" ht="94.5" x14ac:dyDescent="0.25">
      <c r="A144" s="1" t="s">
        <v>92</v>
      </c>
      <c r="B144" s="2">
        <v>1</v>
      </c>
      <c r="C144" s="97" t="s">
        <v>166</v>
      </c>
      <c r="D144" s="98" t="s">
        <v>164</v>
      </c>
    </row>
    <row r="145" spans="1:4" ht="27" x14ac:dyDescent="0.25">
      <c r="A145" s="2" t="s">
        <v>167</v>
      </c>
      <c r="B145" s="2">
        <v>2</v>
      </c>
      <c r="C145" s="97" t="s">
        <v>168</v>
      </c>
      <c r="D145" s="10"/>
    </row>
    <row r="146" spans="1:4" x14ac:dyDescent="0.25">
      <c r="A146" s="2" t="s">
        <v>18</v>
      </c>
      <c r="B146" s="2">
        <v>3</v>
      </c>
      <c r="C146" s="97" t="s">
        <v>169</v>
      </c>
      <c r="D146" s="10"/>
    </row>
    <row r="147" spans="1:4" x14ac:dyDescent="0.25">
      <c r="A147" s="2"/>
      <c r="B147" s="2"/>
      <c r="C147" s="10"/>
      <c r="D147" s="10"/>
    </row>
    <row r="148" spans="1:4" x14ac:dyDescent="0.25">
      <c r="A148" s="50"/>
      <c r="B148" s="50"/>
      <c r="C148" s="51"/>
      <c r="D148" s="51"/>
    </row>
    <row r="149" spans="1:4" x14ac:dyDescent="0.25">
      <c r="A149" s="50"/>
      <c r="B149" s="50"/>
      <c r="C149" s="51"/>
      <c r="D149" s="51"/>
    </row>
    <row r="150" spans="1:4" ht="14.25" thickBot="1" x14ac:dyDescent="0.3">
      <c r="A150" s="3"/>
      <c r="B150" s="3"/>
      <c r="C150" s="11"/>
      <c r="D150" s="11"/>
    </row>
    <row r="151" spans="1:4" ht="14.25" thickBot="1" x14ac:dyDescent="0.3">
      <c r="A151" s="47" t="s">
        <v>37</v>
      </c>
      <c r="B151" s="47">
        <f>SUM(B136:B150)</f>
        <v>14</v>
      </c>
      <c r="C151" s="88" t="s">
        <v>42</v>
      </c>
      <c r="D151" s="48"/>
    </row>
    <row r="152" spans="1:4" ht="14.25" x14ac:dyDescent="0.3">
      <c r="A152" s="49"/>
      <c r="B152" s="49"/>
      <c r="C152" s="49"/>
      <c r="D152" s="49"/>
    </row>
    <row r="153" spans="1:4" x14ac:dyDescent="0.25">
      <c r="A153" s="87" t="s">
        <v>46</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14E08DC9-0530-4655-B471-0857C266F577}">
      <formula1>0</formula1>
      <formula2>DureePeriode-1</formula2>
    </dataValidation>
    <dataValidation type="whole" errorStyle="warning" operator="greaterThan" allowBlank="1" showInputMessage="1" showErrorMessage="1" errorTitle="Durée en 1/3 de période" error="Le nombre doit être de type entier" sqref="F27:F34 B3:B17 B136:B150 B41:B55 B22:B36 B98:B112 B117:B131 B60:B74 B79:B93" xr:uid="{88E73AB6-CD73-43EA-93CA-E3B3C16C2A85}">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4D624712-0990-425F-B0EA-869B26BCEFED}">
      <formula1>0</formula1>
      <formula2>NbPerWeek * NbQuartPer</formula2>
    </dataValidation>
    <dataValidation type="list" allowBlank="1" showInputMessage="1" showErrorMessage="1" sqref="A136:A150 A3:A17 A22:A36 A41:A55 A98:A112 A117:A131 A60:A74 A79:A93" xr:uid="{D7F22F19-5372-4AF6-B3D7-947D097541D0}">
      <formula1>lstTasks</formula1>
    </dataValidation>
  </dataValidations>
  <hyperlinks>
    <hyperlink ref="D28" r:id="rId1" display="https://codepen.io/fghty/pen/PojKNEG" xr:uid="{16E09253-ADE4-4A79-A831-3B8C12A24349}"/>
    <hyperlink ref="D43" r:id="rId2" xr:uid="{9188B8CE-40EA-4F56-94A1-3DA7309794A9}"/>
    <hyperlink ref="D46" r:id="rId3" xr:uid="{C8B0650C-592E-4224-A4EC-1918A5D64B53}"/>
    <hyperlink ref="D61" r:id="rId4" xr:uid="{F60C5CAD-14D2-43FB-A2DF-4F95A7FA28A1}"/>
    <hyperlink ref="D62" r:id="rId5" display="https://www.npmjs.com/package/crypto-js" xr:uid="{112AF713-0377-4956-B031-F2CACD3104D3}"/>
    <hyperlink ref="D79" r:id="rId6" xr:uid="{439E1318-52EA-40F8-A0FA-C103098E1F7A}"/>
    <hyperlink ref="D81" r:id="rId7" xr:uid="{46D73E30-EF7C-4D05-A5EC-808BFD4D7F52}"/>
    <hyperlink ref="D82" r:id="rId8" location="diff-8f8b2365a2d006409a2e4b5454c460353d6019f95276e84ef1d4de5d2613499f" xr:uid="{8708B955-B5DB-439F-844B-50C19B3D0E9B}"/>
    <hyperlink ref="D83" r:id="rId9" location="diff-8face169a2cff7259014c38d5a7311c14b48513238026106ba5922cba24cfd14" xr:uid="{24398BE3-8CDE-42FF-BD66-3F4EF3A7C12A}"/>
    <hyperlink ref="D4" r:id="rId10" xr:uid="{F1A704E3-9D40-4A28-9C87-360664ABB187}"/>
    <hyperlink ref="D121" r:id="rId11" xr:uid="{14BB78C8-37FA-4328-A3A4-0C813040A13C}"/>
    <hyperlink ref="D122" r:id="rId12" xr:uid="{82C8C0BE-B8C6-4A9C-BFBA-1DC6912795FB}"/>
    <hyperlink ref="D123" r:id="rId13" xr:uid="{641B4EBB-278E-482A-8D2F-F2D5294C3FBE}"/>
    <hyperlink ref="D136" r:id="rId14" xr:uid="{25E6DC8A-0EE6-44E2-A83B-D5ABF7F3C924}"/>
    <hyperlink ref="D137" r:id="rId15" xr:uid="{74711559-D2B2-4671-9F4E-859EEE40B852}"/>
    <hyperlink ref="D138" r:id="rId16" location="diff-cd62758042df846c47f8f53b9f722bceec86f52a9f9e5ce9c51f151e454a25d2" xr:uid="{686A87D0-F19C-41B6-B59E-D0448DE832D9}"/>
    <hyperlink ref="D140" r:id="rId17" xr:uid="{4DB5C4C7-40A0-4C3F-BA80-A20CA2C62E82}"/>
    <hyperlink ref="D142" r:id="rId18" xr:uid="{28A0253C-04A6-4FD8-93E7-224CE519B0FF}"/>
    <hyperlink ref="D143" r:id="rId19" xr:uid="{3FCA0867-1229-40DD-A2A5-645F9719444C}"/>
    <hyperlink ref="D144" r:id="rId20" xr:uid="{2C3EE7F3-8911-46E6-863A-DF2577930923}"/>
  </hyperlinks>
  <pageMargins left="0.7" right="0.7" top="0.75" bottom="0.75" header="0.3" footer="0.3"/>
  <pageSetup paperSize="9" orientation="portrait" r:id="rId21"/>
  <drawing r:id="rId22"/>
  <legacyDrawing r:id="rId23"/>
  <controls>
    <mc:AlternateContent xmlns:mc="http://schemas.openxmlformats.org/markup-compatibility/2006">
      <mc:Choice Requires="x14">
        <control shapeId="40961" r:id="rId24" name="btnImportRealisation">
          <controlPr defaultSize="0" autoLine="0" r:id="rId25">
            <anchor moveWithCells="1">
              <from>
                <xdr:col>4</xdr:col>
                <xdr:colOff>590550</xdr:colOff>
                <xdr:row>0</xdr:row>
                <xdr:rowOff>180975</xdr:rowOff>
              </from>
              <to>
                <xdr:col>7</xdr:col>
                <xdr:colOff>257175</xdr:colOff>
                <xdr:row>2</xdr:row>
                <xdr:rowOff>152400</xdr:rowOff>
              </to>
            </anchor>
          </controlPr>
        </control>
      </mc:Choice>
      <mc:Fallback>
        <control shapeId="40961" r:id="rId2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C29126A-0525-4FCA-A870-5924A033DD5A}">
  <ds:schemaRefs>
    <ds:schemaRef ds:uri="http://purl.org/dc/elements/1.1/"/>
    <ds:schemaRef ds:uri="http://purl.org/dc/dcmitype/"/>
    <ds:schemaRef ds:uri="http://www.w3.org/XML/1998/namespace"/>
    <ds:schemaRef ds:uri="http://purl.org/dc/terms/"/>
    <ds:schemaRef ds:uri="http://schemas.microsoft.com/office/2006/metadata/properties"/>
    <ds:schemaRef ds:uri="http://schemas.openxmlformats.org/package/2006/metadata/core-properties"/>
    <ds:schemaRef ds:uri="http://schemas.microsoft.com/office/2006/documentManagement/types"/>
    <ds:schemaRef ds:uri="http://schemas.microsoft.com/office/infopath/2007/PartnerControls"/>
    <ds:schemaRef ds:uri="f7d9f5a6-831d-4621-8c77-cbcaf993e406"/>
    <ds:schemaRef ds:uri="bf2f2df3-a963-4452-b0e7-67dabc627c35"/>
  </ds:schemaRefs>
</ds:datastoreItem>
</file>

<file path=customXml/itemProps3.xml><?xml version="1.0" encoding="utf-8"?>
<ds:datastoreItem xmlns:ds="http://schemas.openxmlformats.org/officeDocument/2006/customXml" ds:itemID="{483719EA-391A-4C4B-985B-9805B7FCB9D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11</vt:i4>
      </vt:variant>
    </vt:vector>
  </HeadingPairs>
  <TitlesOfParts>
    <vt:vector size="18" baseType="lpstr">
      <vt:lpstr>Donnees</vt:lpstr>
      <vt:lpstr>DiagramHeader</vt:lpstr>
      <vt:lpstr>DiagramFooter</vt:lpstr>
      <vt:lpstr>PlanificationWeek</vt:lpstr>
      <vt:lpstr>Planning</vt:lpstr>
      <vt:lpstr>achievementWeek</vt:lpstr>
      <vt:lpstr>JNLTRAV</vt:lpstr>
      <vt:lpstr>datDateBegin</vt:lpstr>
      <vt:lpstr>lstTasks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Gonzalo Javier Herrera Egoavil</dc:creator>
  <cp:keywords/>
  <dc:description/>
  <cp:lastModifiedBy>Gonzalo Javier Herrera Egoavil</cp:lastModifiedBy>
  <cp:revision/>
  <dcterms:created xsi:type="dcterms:W3CDTF">1996-10-21T11:03:58Z</dcterms:created>
  <dcterms:modified xsi:type="dcterms:W3CDTF">2025-03-14T09:16:11Z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